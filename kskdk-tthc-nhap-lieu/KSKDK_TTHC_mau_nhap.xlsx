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ongDan" sheetId="1" state="visible" r:id="rId1"/>
    <sheet name="NhapLieu" sheetId="2" state="visible" r:id="rId2"/>
    <sheet name="Mapping" sheetId="3" state="visible" r:id="rId3"/>
    <sheet name="DM_DoiTuong" sheetId="4" state="visible" r:id="rId4"/>
    <sheet name="DM_DiaDiemKham" sheetId="5" state="visible" r:id="rId5"/>
    <sheet name="DM_HinhThucChiTra" sheetId="6" state="visible" r:id="rId6"/>
    <sheet name="DM_HinhThucKham" sheetId="7" state="visible" r:id="rId7"/>
    <sheet name="DM_GioiTinh" sheetId="8" state="visible" r:id="rId8"/>
    <sheet name="DM_DanToc" sheetId="9" state="visible" r:id="rId9"/>
    <sheet name="DM_NhomMau" sheetId="10" state="visible" r:id="rId10"/>
    <sheet name="DM_YeuToNhomMau" sheetId="11" state="visible" r:id="rId11"/>
    <sheet name="DM_TinhThanh" sheetId="12" state="visible" r:id="rId12"/>
    <sheet name="DM_XaPhuong" sheetId="13" state="visible" r:id="rId13"/>
    <sheet name="DM_NgheNghiep" sheetId="14" state="visible" r:id="rId14"/>
    <sheet name="DM_NoiCongTac" sheetId="15" state="visible" r:id="rId15"/>
    <sheet name="TimKiem" sheetId="16" state="visible" r:id="rId16"/>
    <sheet name="DaImport" sheetId="17" state="visible" r:id="rId17"/>
    <sheet name="TraCuuDM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i val="1"/>
      <color rgb="00475569"/>
      <sz val="9"/>
    </font>
    <font>
      <b val="1"/>
      <color rgb="00854D0E"/>
      <sz val="10"/>
    </font>
    <font>
      <i val="1"/>
      <color rgb="0092400E"/>
      <sz val="9"/>
    </font>
    <font>
      <i val="1"/>
      <color rgb="00713F12"/>
      <sz val="10"/>
    </font>
    <font>
      <b val="1"/>
      <color rgb="000F6A5A"/>
      <sz val="12"/>
    </font>
    <font>
      <b val="1"/>
    </font>
  </fonts>
  <fills count="6">
    <fill>
      <patternFill/>
    </fill>
    <fill>
      <patternFill patternType="gray125"/>
    </fill>
    <fill>
      <patternFill patternType="solid">
        <fgColor rgb="000F6A5A"/>
      </patternFill>
    </fill>
    <fill>
      <patternFill patternType="solid">
        <fgColor rgb="00E2E8F0"/>
      </patternFill>
    </fill>
    <fill>
      <patternFill patternType="solid">
        <fgColor rgb="00FEF9C3"/>
      </patternFill>
    </fill>
    <fill>
      <patternFill patternType="solid">
        <fgColor rgb="00FFFBEB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0" fontId="4" fillId="0" borderId="0" pivotButton="0" quotePrefix="0" xfId="0"/>
    <xf numFmtId="0" fontId="5" fillId="5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100" customWidth="1" min="2" max="2"/>
  </cols>
  <sheetData>
    <row r="1">
      <c r="A1" t="inlineStr">
        <is>
          <t>FORM</t>
        </is>
      </c>
      <c r="B1" t="inlineStr">
        <is>
          <t>KSKDK_TTHC — Thông tin hành chính</t>
        </is>
      </c>
    </row>
    <row r="2">
      <c r="A2" t="inlineStr">
        <is>
          <t>FormId</t>
        </is>
      </c>
      <c r="B2" t="n">
        <v>1000092</v>
      </c>
    </row>
    <row r="3">
      <c r="A3" t="inlineStr">
        <is>
          <t>Cách dùng</t>
        </is>
      </c>
      <c r="B3" t="inlineStr">
        <is>
          <t>1) Điền dữ liệu vào sheet NhapLieu (mỗi dòng = 1 người)</t>
        </is>
      </c>
    </row>
    <row r="4">
      <c r="B4" t="inlineStr">
        <is>
          <t>2) Cột danh mục: gõ đúng Name hoặc Id như sheet DM_*</t>
        </is>
      </c>
    </row>
    <row r="5">
      <c r="B5" t="inlineStr">
        <is>
          <t>3) Ngày tháng: dd/MM/yyyy (ví dụ 29/07/2026)</t>
        </is>
      </c>
    </row>
    <row r="6">
      <c r="B6" t="inlineStr">
        <is>
          <t>4) Giới tính: Nam hoặc Nữ</t>
        </is>
      </c>
    </row>
    <row r="7">
      <c r="B7" t="inlineStr">
        <is>
          <t>5) Chạy import: python3 import_excel.py --excel KSKDK_TTHC_mau_nhap.xlsx --user ... --password ...</t>
        </is>
      </c>
    </row>
    <row r="8">
      <c r="B8" t="inlineStr">
        <is>
          <t>6) Tìm một phần: nhập CCCD/họ tên/SĐT ở sheet TimKiem → python3 search_fill.py --excel ...</t>
        </is>
      </c>
    </row>
    <row r="9">
      <c r="B9" t="inlineStr">
        <is>
          <t>7) Nếu người đã khám cùng ngày: TrangThai=TRUNG (không tạo bản ghi mới)</t>
        </is>
      </c>
    </row>
    <row r="10">
      <c r="A10" t="inlineStr">
        <is>
          <t>Lưu ý</t>
        </is>
      </c>
      <c r="B10" t="inlineStr">
        <is>
          <t>Web không có nút Import — script này gọi API FormToDatabaseInsert thay thế</t>
        </is>
      </c>
    </row>
    <row r="11">
      <c r="B11" t="inlineStr">
        <is>
          <t>Không commit mật khẩu vào git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8" customWidth="1" min="3" max="3"/>
    <col width="28" customWidth="1" min="4" max="4"/>
    <col width="28" customWidth="1" min="5" max="5"/>
    <col width="2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2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28" customWidth="1" min="18" max="18"/>
    <col width="28" customWidth="1" min="19" max="19"/>
    <col width="18" customWidth="1" min="20" max="20"/>
    <col width="28" customWidth="1" min="21" max="21"/>
    <col width="28" customWidth="1" min="22" max="22"/>
    <col width="28" customWidth="1" min="23" max="23"/>
    <col width="18" customWidth="1" min="24" max="24"/>
    <col width="18" customWidth="1" min="25" max="25"/>
    <col width="18" customWidth="1" min="26" max="26"/>
  </cols>
  <sheetData>
    <row r="1" ht="36" customHeight="1">
      <c r="A1" s="1" t="inlineStr">
        <is>
          <t>NgayKham</t>
        </is>
      </c>
      <c r="B1" s="1" t="inlineStr">
        <is>
          <t>DoiTuong</t>
        </is>
      </c>
      <c r="C1" s="3" t="inlineStr">
        <is>
          <t>GoiY_DoiTuong</t>
        </is>
      </c>
      <c r="D1" s="1" t="inlineStr">
        <is>
          <t>DiaDiemKham</t>
        </is>
      </c>
      <c r="E1" s="3" t="inlineStr">
        <is>
          <t>GoiY_DiaDiemKham</t>
        </is>
      </c>
      <c r="F1" s="1" t="inlineStr">
        <is>
          <t>HinhThucChiTra</t>
        </is>
      </c>
      <c r="G1" s="3" t="inlineStr">
        <is>
          <t>GoiY_HinhThucChiTra</t>
        </is>
      </c>
      <c r="H1" s="1" t="inlineStr">
        <is>
          <t>HinhThucKham</t>
        </is>
      </c>
      <c r="I1" s="3" t="inlineStr">
        <is>
          <t>GoiY_HinhThucKham</t>
        </is>
      </c>
      <c r="J1" s="1" t="inlineStr">
        <is>
          <t>NguonKhac_GhiRo</t>
        </is>
      </c>
      <c r="K1" s="1" t="inlineStr">
        <is>
          <t>CCCD</t>
        </is>
      </c>
      <c r="L1" s="1" t="inlineStr">
        <is>
          <t>HoTen</t>
        </is>
      </c>
      <c r="M1" s="1" t="inlineStr">
        <is>
          <t>NgaySinh</t>
        </is>
      </c>
      <c r="N1" s="1" t="inlineStr">
        <is>
          <t>GioiTinh</t>
        </is>
      </c>
      <c r="O1" s="1" t="inlineStr">
        <is>
          <t>DanToc</t>
        </is>
      </c>
      <c r="P1" s="3" t="inlineStr">
        <is>
          <t>GoiY_DanToc</t>
        </is>
      </c>
      <c r="Q1" s="1" t="inlineStr">
        <is>
          <t>NhomMau</t>
        </is>
      </c>
      <c r="R1" s="1" t="inlineStr">
        <is>
          <t>YeuToNhomMau</t>
        </is>
      </c>
      <c r="S1" s="1" t="inlineStr">
        <is>
          <t>BHYT</t>
        </is>
      </c>
      <c r="T1" s="1" t="inlineStr">
        <is>
          <t>SDT</t>
        </is>
      </c>
      <c r="U1" s="1" t="inlineStr">
        <is>
          <t>NoiOHienTai</t>
        </is>
      </c>
      <c r="V1" s="1" t="inlineStr">
        <is>
          <t>TinhThanh</t>
        </is>
      </c>
      <c r="W1" s="3" t="inlineStr">
        <is>
          <t>GoiY_TinhThanh</t>
        </is>
      </c>
      <c r="X1" s="1" t="inlineStr">
        <is>
          <t>XaPhuong</t>
        </is>
      </c>
      <c r="Y1" s="3" t="inlineStr">
        <is>
          <t>GoiY_XaPhuong</t>
        </is>
      </c>
      <c r="Z1" s="1" t="inlineStr">
        <is>
          <t>NgheNghiepId</t>
        </is>
      </c>
      <c r="AA1" s="1" t="inlineStr">
        <is>
          <t>NgheNghiep</t>
        </is>
      </c>
      <c r="AB1" s="3" t="inlineStr">
        <is>
          <t>GoiY_NgheNghiep</t>
        </is>
      </c>
      <c r="AC1" s="1" t="inlineStr">
        <is>
          <t>NoiCongTac</t>
        </is>
      </c>
      <c r="AD1" s="3" t="inlineStr">
        <is>
          <t>GoiY_NoiCongTac</t>
        </is>
      </c>
      <c r="AE1" s="1" t="inlineStr">
        <is>
          <t>XaPhuongCongTac</t>
        </is>
      </c>
      <c r="AF1" s="3" t="inlineStr">
        <is>
          <t>GoiY_XaPhuongCongTac</t>
        </is>
      </c>
      <c r="AG1" s="1" t="inlineStr">
        <is>
          <t>LyDoKham</t>
        </is>
      </c>
      <c r="AH1" s="1" t="inlineStr">
        <is>
          <t>MaBanGhi</t>
        </is>
      </c>
      <c r="AI1" s="1" t="inlineStr">
        <is>
          <t>TrangThai</t>
        </is>
      </c>
      <c r="AJ1" s="1" t="inlineStr">
        <is>
          <t>GhiChu</t>
        </is>
      </c>
    </row>
    <row r="2" ht="48" customHeight="1">
      <c r="A2" s="2" t="inlineStr">
        <is>
          <t>dd/MM/yyyy — Ngày khám</t>
        </is>
      </c>
      <c r="B2" s="2" t="inlineStr">
        <is>
          <t>Chọn từ sheet DM_DoiTuong (điền Name hoặc Id)</t>
        </is>
      </c>
      <c r="C2" s="4" t="inlineStr">
        <is>
          <t>Gợi ý tự động — gõ một phần bên trái (có thể không dấu)</t>
        </is>
      </c>
      <c r="D2" s="2" t="inlineStr">
        <is>
          <t>Chọn từ DM_DiaDiemKham</t>
        </is>
      </c>
      <c r="E2" s="4" t="inlineStr">
        <is>
          <t>Gợi ý tự động — gõ một phần bên trái (có thể không dấu)</t>
        </is>
      </c>
      <c r="F2" s="2" t="inlineStr">
        <is>
          <t>Chọn từ DM_HinhThucChiTra</t>
        </is>
      </c>
      <c r="G2" s="4" t="inlineStr">
        <is>
          <t>Gợi ý tự động — gõ một phần bên trái (có thể không dấu)</t>
        </is>
      </c>
      <c r="H2" s="2" t="inlineStr">
        <is>
          <t>Chọn từ DM_HinhThucKham</t>
        </is>
      </c>
      <c r="I2" s="4" t="inlineStr">
        <is>
          <t>Gợi ý tự động — gõ một phần bên trái (có thể không dấu)</t>
        </is>
      </c>
      <c r="J2" s="2" t="inlineStr">
        <is>
          <t>Nếu hình thức chi trả = nguồn khác</t>
        </is>
      </c>
      <c r="K2" s="2" t="inlineStr">
        <is>
          <t>Số CCCD / định danh / hộ chiếu</t>
        </is>
      </c>
      <c r="L2" s="2" t="inlineStr">
        <is>
          <t>Họ tên IN HOA</t>
        </is>
      </c>
      <c r="M2" s="2" t="inlineStr">
        <is>
          <t>dd/MM/yyyy</t>
        </is>
      </c>
      <c r="N2" s="2" t="inlineStr">
        <is>
          <t>Nam hoặc Nữ</t>
        </is>
      </c>
      <c r="O2" s="2" t="inlineStr">
        <is>
          <t>Chọn từ DM_DanToc (mặc định: Kinh)</t>
        </is>
      </c>
      <c r="P2" s="4" t="inlineStr">
        <is>
          <t>Gợi ý tự động — gõ một phần bên trái (có thể không dấu)</t>
        </is>
      </c>
      <c r="Q2" s="2" t="inlineStr">
        <is>
          <t>A/B/O/AB — để trống nếu không có</t>
        </is>
      </c>
      <c r="R2" s="2" t="inlineStr">
        <is>
          <t>Rh+ / Rh-</t>
        </is>
      </c>
      <c r="S2" s="2" t="inlineStr">
        <is>
          <t>Số thẻ BHYT</t>
        </is>
      </c>
      <c r="T2" s="2" t="inlineStr">
        <is>
          <t>Điện thoại</t>
        </is>
      </c>
      <c r="U2" s="2" t="inlineStr">
        <is>
          <t>Số nhà, đường...</t>
        </is>
      </c>
      <c r="V2" s="2" t="inlineStr">
        <is>
          <t>Chọn từ DM_TinhThanh</t>
        </is>
      </c>
      <c r="W2" s="4" t="inlineStr">
        <is>
          <t>Gợi ý tự động — gõ một phần bên trái (có thể không dấu)</t>
        </is>
      </c>
      <c r="X2" s="2" t="inlineStr">
        <is>
          <t>Chọn từ DM_XaPhuong (theo tỉnh)</t>
        </is>
      </c>
      <c r="Y2" s="4" t="inlineStr">
        <is>
          <t>Gợi ý tự động — gõ một phần bên trái (có thể không dấu)</t>
        </is>
      </c>
      <c r="Z2" s="2" t="inlineStr">
        <is>
          <t>Id nghề nghiệp nếu biết</t>
        </is>
      </c>
      <c r="AA2" s="2" t="inlineStr">
        <is>
          <t>Tên nghề nghiệp (text)</t>
        </is>
      </c>
      <c r="AB2" s="4" t="inlineStr">
        <is>
          <t>Gợi ý tự động — gõ một phần bên trái (có thể không dấu)</t>
        </is>
      </c>
      <c r="AC2" s="2" t="inlineStr">
        <is>
          <t>Id hoặc Name từ DM_NoiCongTac</t>
        </is>
      </c>
      <c r="AD2" s="4" t="inlineStr">
        <is>
          <t>Gợi ý tự động — gõ một phần bên trái (có thể không dấu)</t>
        </is>
      </c>
      <c r="AE2" s="2" t="inlineStr">
        <is>
          <t>Xã/phường nơi công tác</t>
        </is>
      </c>
      <c r="AF2" s="4" t="inlineStr">
        <is>
          <t>Gợi ý tự động — gõ một phần bên trái (có thể không dấu)</t>
        </is>
      </c>
      <c r="AG2" s="2" t="inlineStr">
        <is>
          <t>Lý do khám sức khỏe</t>
        </is>
      </c>
      <c r="AH2" s="2" t="inlineStr">
        <is>
          <t>Script ghi — mã bản ghi trên web</t>
        </is>
      </c>
      <c r="AI2" s="2" t="inlineStr">
        <is>
          <t>THANH_CONG / TRUNG / LOI</t>
        </is>
      </c>
      <c r="AJ2" s="2" t="inlineStr">
        <is>
          <t>Thông báo từ hệ thống</t>
        </is>
      </c>
    </row>
    <row r="3">
      <c r="A3" t="inlineStr">
        <is>
          <t>29/07/2026</t>
        </is>
      </c>
      <c r="B3" t="inlineStr">
        <is>
          <t>Người lao động (theo pháp luật về an toàn, vệ sinh lao động)</t>
        </is>
      </c>
      <c r="C3" s="5">
        <f>IF($B3="","",IFERROR(INDEX('DM_DoiTuong'!$B$2:$B$19,AGGREGATE(15,6,ROW('DM_DoiTuong'!$B$2:$B$19)-ROW('DM_DoiTuong'!$B$2)+1/ISNUMBER(SEARCH(SUBSTITUTE(UPPER($B3)," ",""),'DM_DoiTuong'!$C$2:$C$19)),1)),"Không tìm thấy"))</f>
        <v/>
      </c>
      <c r="D3" t="inlineStr">
        <is>
          <t>Khám Lưu Động</t>
        </is>
      </c>
      <c r="E3" s="5">
        <f>IF($C3="","",IFERROR(INDEX('DM_DiaDiemKham'!$B$2:$B$6,AGGREGATE(15,6,ROW('DM_DiaDiemKham'!$B$2:$B$6)-ROW('DM_DiaDiemKham'!$B$2)+1/ISNUMBER(SEARCH(SUBSTITUTE(UPPER($C3)," ",""),'DM_DiaDiemKham'!$C$2:$C$6)),1)),"Không tìm thấy"))</f>
        <v/>
      </c>
      <c r="F3" t="inlineStr">
        <is>
          <t xml:space="preserve">Ngân sách thành phố hỗ trợ </t>
        </is>
      </c>
      <c r="G3" s="5">
        <f>IF($D3="","",IFERROR(INDEX('DM_HinhThucChiTra'!$B$2:$B$5,AGGREGATE(15,6,ROW('DM_HinhThucChiTra'!$B$2:$B$5)-ROW('DM_HinhThucChiTra'!$B$2)+1/ISNUMBER(SEARCH(SUBSTITUTE(UPPER($D3)," ",""),'DM_HinhThucChiTra'!$C$2:$C$5)),1)),"Không tìm thấy"))</f>
        <v/>
      </c>
      <c r="H3" t="inlineStr">
        <is>
          <t>Khám Theo Hợp Đồng</t>
        </is>
      </c>
      <c r="I3" s="5">
        <f>IF($E3="","",IFERROR(INDEX('DM_HinhThucKham'!$B$2:$B$3,AGGREGATE(15,6,ROW('DM_HinhThucKham'!$B$2:$B$3)-ROW('DM_HinhThucKham'!$B$2)+1/ISNUMBER(SEARCH(SUBSTITUTE(UPPER($E3)," ",""),'DM_HinhThucKham'!$C$2:$C$3)),1)),"Không tìm thấy"))</f>
        <v/>
      </c>
      <c r="K3" t="inlineStr">
        <is>
          <t>087187000236</t>
        </is>
      </c>
      <c r="L3" t="inlineStr">
        <is>
          <t>TRẦN NGỌC DUNG</t>
        </is>
      </c>
      <c r="M3" t="inlineStr">
        <is>
          <t>27/06/1987</t>
        </is>
      </c>
      <c r="N3" t="inlineStr">
        <is>
          <t>Nữ</t>
        </is>
      </c>
      <c r="O3" t="inlineStr">
        <is>
          <t>Kinh</t>
        </is>
      </c>
      <c r="P3" s="5">
        <f>IF($K3="","",IFERROR(INDEX('DM_DanToc'!$B$2:$B$78,AGGREGATE(15,6,ROW('DM_DanToc'!$B$2:$B$78)-ROW('DM_DanToc'!$B$2)+1/ISNUMBER(SEARCH(SUBSTITUTE(UPPER($K3)," ",""),'DM_DanToc'!$C$2:$C$78)),1)),"Không tìm thấy"))</f>
        <v/>
      </c>
      <c r="T3" t="inlineStr">
        <is>
          <t>0989681925</t>
        </is>
      </c>
      <c r="U3" t="inlineStr">
        <is>
          <t>262/20 LẠC LONG QUÂN</t>
        </is>
      </c>
      <c r="V3" t="inlineStr">
        <is>
          <t>Thành Phố Hồ Chí Minh</t>
        </is>
      </c>
      <c r="W3" s="5">
        <f>IF($Q3="","",IFERROR(INDEX('DM_TinhThanh'!$B$2:$B$35,AGGREGATE(15,6,ROW('DM_TinhThanh'!$B$2:$B$35)-ROW('DM_TinhThanh'!$B$2)+1/ISNUMBER(SEARCH(SUBSTITUTE(UPPER($Q3)," ",""),'DM_TinhThanh'!$C$2:$C$35)),1)),"Không tìm thấy"))</f>
        <v/>
      </c>
      <c r="X3" t="inlineStr">
        <is>
          <t>Phường Bình Thới</t>
        </is>
      </c>
      <c r="Y3" s="5">
        <f>IF($R3="","",IFERROR(INDEX('DM_XaPhuong'!$B$2:$B$169,AGGREGATE(15,6,ROW('DM_XaPhuong'!$B$2:$B$169)-ROW('DM_XaPhuong'!$B$2)+1/ISNUMBER(SEARCH(SUBSTITUTE(UPPER($R3)," ",""),'DM_XaPhuong'!$C$2:$C$169)),1)),"Không tìm thấy"))</f>
        <v/>
      </c>
      <c r="AA3" t="inlineStr">
        <is>
          <t>GIÁO VIÊN MẦM NON</t>
        </is>
      </c>
      <c r="AB3" s="5">
        <f>IF($T3="","",IFERROR(INDEX('DM_NgheNghiep'!$B$2:$B$11,AGGREGATE(15,6,ROW('DM_NgheNghiep'!$B$2:$B$11)-ROW('DM_NgheNghiep'!$B$2)+1/ISNUMBER(SEARCH(SUBSTITUTE(UPPER($T3)," ",""),'DM_NgheNghiep'!$C$2:$C$11)),1)),"Không tìm thấy"))</f>
        <v/>
      </c>
      <c r="AD3" s="5">
        <f>IF($U3="","",IFERROR(INDEX('DM_NoiCongTac'!$B$2:$B$11,AGGREGATE(15,6,ROW('DM_NoiCongTac'!$B$2:$B$11)-ROW('DM_NoiCongTac'!$B$2)+1/ISNUMBER(SEARCH(SUBSTITUTE(UPPER($U3)," ",""),'DM_NoiCongTac'!$C$2:$C$11)),1)),"Không tìm thấy"))</f>
        <v/>
      </c>
      <c r="AF3" s="5">
        <f>IF($V3="","",IFERROR(INDEX('DM_XaPhuong'!$B$2:$B$169,AGGREGATE(15,6,ROW('DM_XaPhuong'!$B$2:$B$169)-ROW('DM_XaPhuong'!$B$2)+1/ISNUMBER(SEARCH(SUBSTITUTE(UPPER($V3)," ",""),'DM_XaPhuong'!$C$2:$C$169)),1)),"Không tìm thấy"))</f>
        <v/>
      </c>
      <c r="AG3" t="inlineStr">
        <is>
          <t>Khám sức khỏe định kỳ</t>
        </is>
      </c>
      <c r="AI3" t="inlineStr">
        <is>
          <t>TRUNG</t>
        </is>
      </c>
      <c r="AJ3" t="inlineStr">
        <is>
          <t>Công dân đã khám bằng 'Ngân sách nhà nước' tại Phòng khám đa khoa (thuộc Công ty TNHH Phòng khám đa khoa Thuận Kiều) vào ngày 29/07/2026</t>
        </is>
      </c>
    </row>
    <row r="4">
      <c r="A4" t="inlineStr">
        <is>
          <t>29/07/2026</t>
        </is>
      </c>
      <c r="B4" t="inlineStr">
        <is>
          <t>Người lao động (theo pháp luật về an toàn, vệ sinh lao động)</t>
        </is>
      </c>
      <c r="C4" s="5">
        <f>IF($B4="","",IFERROR(INDEX('DM_DoiTuong'!$B$2:$B$19,AGGREGATE(15,6,ROW('DM_DoiTuong'!$B$2:$B$19)-ROW('DM_DoiTuong'!$B$2)+1/ISNUMBER(SEARCH(SUBSTITUTE(UPPER($B4)," ",""),'DM_DoiTuong'!$C$2:$C$19)),1)),"Không tìm thấy"))</f>
        <v/>
      </c>
      <c r="D4" t="inlineStr">
        <is>
          <t>Khám Lưu Động</t>
        </is>
      </c>
      <c r="E4" s="5">
        <f>IF($C4="","",IFERROR(INDEX('DM_DiaDiemKham'!$B$2:$B$6,AGGREGATE(15,6,ROW('DM_DiaDiemKham'!$B$2:$B$6)-ROW('DM_DiaDiemKham'!$B$2)+1/ISNUMBER(SEARCH(SUBSTITUTE(UPPER($C4)," ",""),'DM_DiaDiemKham'!$C$2:$C$6)),1)),"Không tìm thấy"))</f>
        <v/>
      </c>
      <c r="F4" t="inlineStr">
        <is>
          <t xml:space="preserve">Ngân sách thành phố hỗ trợ </t>
        </is>
      </c>
      <c r="G4" s="5">
        <f>IF($D4="","",IFERROR(INDEX('DM_HinhThucChiTra'!$B$2:$B$5,AGGREGATE(15,6,ROW('DM_HinhThucChiTra'!$B$2:$B$5)-ROW('DM_HinhThucChiTra'!$B$2)+1/ISNUMBER(SEARCH(SUBSTITUTE(UPPER($D4)," ",""),'DM_HinhThucChiTra'!$C$2:$C$5)),1)),"Không tìm thấy"))</f>
        <v/>
      </c>
      <c r="H4" t="inlineStr">
        <is>
          <t>Khám Theo Hợp Đồng</t>
        </is>
      </c>
      <c r="I4" s="5">
        <f>IF($E4="","",IFERROR(INDEX('DM_HinhThucKham'!$B$2:$B$3,AGGREGATE(15,6,ROW('DM_HinhThucKham'!$B$2:$B$3)-ROW('DM_HinhThucKham'!$B$2)+1/ISNUMBER(SEARCH(SUBSTITUTE(UPPER($E4)," ",""),'DM_HinhThucKham'!$C$2:$C$3)),1)),"Không tìm thấy"))</f>
        <v/>
      </c>
      <c r="K4" t="inlineStr">
        <is>
          <t>079195031510</t>
        </is>
      </c>
      <c r="L4" t="inlineStr">
        <is>
          <t>LE THI MAI</t>
        </is>
      </c>
      <c r="M4" t="inlineStr">
        <is>
          <t>15/03/1995</t>
        </is>
      </c>
      <c r="N4" t="inlineStr">
        <is>
          <t>Nữ</t>
        </is>
      </c>
      <c r="O4" t="inlineStr">
        <is>
          <t>Kinh</t>
        </is>
      </c>
      <c r="P4" s="5">
        <f>IF($K4="","",IFERROR(INDEX('DM_DanToc'!$B$2:$B$78,AGGREGATE(15,6,ROW('DM_DanToc'!$B$2:$B$78)-ROW('DM_DanToc'!$B$2)+1/ISNUMBER(SEARCH(SUBSTITUTE(UPPER($K4)," ",""),'DM_DanToc'!$C$2:$C$78)),1)),"Không tìm thấy"))</f>
        <v/>
      </c>
      <c r="T4" t="inlineStr">
        <is>
          <t>0989681920</t>
        </is>
      </c>
      <c r="U4" t="inlineStr">
        <is>
          <t>45 Le Loi</t>
        </is>
      </c>
      <c r="V4" t="inlineStr">
        <is>
          <t>Thành Phố Hồ Chí Minh</t>
        </is>
      </c>
      <c r="W4" s="5">
        <f>IF($Q4="","",IFERROR(INDEX('DM_TinhThanh'!$B$2:$B$35,AGGREGATE(15,6,ROW('DM_TinhThanh'!$B$2:$B$35)-ROW('DM_TinhThanh'!$B$2)+1/ISNUMBER(SEARCH(SUBSTITUTE(UPPER($Q4)," ",""),'DM_TinhThanh'!$C$2:$C$35)),1)),"Không tìm thấy"))</f>
        <v/>
      </c>
      <c r="X4" t="inlineStr">
        <is>
          <t>Phường Hiệp Bình</t>
        </is>
      </c>
      <c r="Y4" s="5">
        <f>IF($R4="","",IFERROR(INDEX('DM_XaPhuong'!$B$2:$B$169,AGGREGATE(15,6,ROW('DM_XaPhuong'!$B$2:$B$169)-ROW('DM_XaPhuong'!$B$2)+1/ISNUMBER(SEARCH(SUBSTITUTE(UPPER($R4)," ",""),'DM_XaPhuong'!$C$2:$C$169)),1)),"Không tìm thấy"))</f>
        <v/>
      </c>
      <c r="AA4" t="inlineStr">
        <is>
          <t>GIÁO VIÊN MẦM NON</t>
        </is>
      </c>
      <c r="AB4" s="5">
        <f>IF($T4="","",IFERROR(INDEX('DM_NgheNghiep'!$B$2:$B$11,AGGREGATE(15,6,ROW('DM_NgheNghiep'!$B$2:$B$11)-ROW('DM_NgheNghiep'!$B$2)+1/ISNUMBER(SEARCH(SUBSTITUTE(UPPER($T4)," ",""),'DM_NgheNghiep'!$C$2:$C$11)),1)),"Không tìm thấy"))</f>
        <v/>
      </c>
      <c r="AD4" s="5">
        <f>IF($U4="","",IFERROR(INDEX('DM_NoiCongTac'!$B$2:$B$11,AGGREGATE(15,6,ROW('DM_NoiCongTac'!$B$2:$B$11)-ROW('DM_NoiCongTac'!$B$2)+1/ISNUMBER(SEARCH(SUBSTITUTE(UPPER($U4)," ",""),'DM_NoiCongTac'!$C$2:$C$11)),1)),"Không tìm thấy"))</f>
        <v/>
      </c>
      <c r="AF4" s="5">
        <f>IF($V4="","",IFERROR(INDEX('DM_XaPhuong'!$B$2:$B$169,AGGREGATE(15,6,ROW('DM_XaPhuong'!$B$2:$B$169)-ROW('DM_XaPhuong'!$B$2)+1/ISNUMBER(SEARCH(SUBSTITUTE(UPPER($V4)," ",""),'DM_XaPhuong'!$C$2:$C$169)),1)),"Không tìm thấy"))</f>
        <v/>
      </c>
      <c r="AG4" t="inlineStr">
        <is>
          <t>Khám sức khỏe định kỳ</t>
        </is>
      </c>
      <c r="AI4" t="inlineStr">
        <is>
          <t>TRUNG</t>
        </is>
      </c>
      <c r="AJ4" t="inlineStr">
        <is>
          <t>Công dân đã khám bằng 'Ngân sách nhà nước' tại Phòng khám đa khoa (thuộc Công ty TNHH Phòng khám đa khoa Thuận Kiều) vào ngày 29/07/2026</t>
        </is>
      </c>
    </row>
    <row r="5">
      <c r="C5" s="5">
        <f>IF($B5="","",IFERROR(INDEX('DM_DoiTuong'!$B$2:$B$19,AGGREGATE(15,6,ROW('DM_DoiTuong'!$B$2:$B$19)-ROW('DM_DoiTuong'!$B$2)+1/ISNUMBER(SEARCH(SUBSTITUTE(UPPER($B5)," ",""),'DM_DoiTuong'!$C$2:$C$19)),1)),"Không tìm thấy"))</f>
        <v/>
      </c>
      <c r="E5" s="5">
        <f>IF($C5="","",IFERROR(INDEX('DM_DiaDiemKham'!$B$2:$B$6,AGGREGATE(15,6,ROW('DM_DiaDiemKham'!$B$2:$B$6)-ROW('DM_DiaDiemKham'!$B$2)+1/ISNUMBER(SEARCH(SUBSTITUTE(UPPER($C5)," ",""),'DM_DiaDiemKham'!$C$2:$C$6)),1)),"Không tìm thấy"))</f>
        <v/>
      </c>
      <c r="G5" s="5">
        <f>IF($D5="","",IFERROR(INDEX('DM_HinhThucChiTra'!$B$2:$B$5,AGGREGATE(15,6,ROW('DM_HinhThucChiTra'!$B$2:$B$5)-ROW('DM_HinhThucChiTra'!$B$2)+1/ISNUMBER(SEARCH(SUBSTITUTE(UPPER($D5)," ",""),'DM_HinhThucChiTra'!$C$2:$C$5)),1)),"Không tìm thấy"))</f>
        <v/>
      </c>
      <c r="I5" s="5">
        <f>IF($E5="","",IFERROR(INDEX('DM_HinhThucKham'!$B$2:$B$3,AGGREGATE(15,6,ROW('DM_HinhThucKham'!$B$2:$B$3)-ROW('DM_HinhThucKham'!$B$2)+1/ISNUMBER(SEARCH(SUBSTITUTE(UPPER($E5)," ",""),'DM_HinhThucKham'!$C$2:$C$3)),1)),"Không tìm thấy"))</f>
        <v/>
      </c>
      <c r="P5" s="5">
        <f>IF($K5="","",IFERROR(INDEX('DM_DanToc'!$B$2:$B$78,AGGREGATE(15,6,ROW('DM_DanToc'!$B$2:$B$78)-ROW('DM_DanToc'!$B$2)+1/ISNUMBER(SEARCH(SUBSTITUTE(UPPER($K5)," ",""),'DM_DanToc'!$C$2:$C$78)),1)),"Không tìm thấy"))</f>
        <v/>
      </c>
      <c r="W5" s="5">
        <f>IF($Q5="","",IFERROR(INDEX('DM_TinhThanh'!$B$2:$B$35,AGGREGATE(15,6,ROW('DM_TinhThanh'!$B$2:$B$35)-ROW('DM_TinhThanh'!$B$2)+1/ISNUMBER(SEARCH(SUBSTITUTE(UPPER($Q5)," ",""),'DM_TinhThanh'!$C$2:$C$35)),1)),"Không tìm thấy"))</f>
        <v/>
      </c>
      <c r="Y5" s="5">
        <f>IF($R5="","",IFERROR(INDEX('DM_XaPhuong'!$B$2:$B$169,AGGREGATE(15,6,ROW('DM_XaPhuong'!$B$2:$B$169)-ROW('DM_XaPhuong'!$B$2)+1/ISNUMBER(SEARCH(SUBSTITUTE(UPPER($R5)," ",""),'DM_XaPhuong'!$C$2:$C$169)),1)),"Không tìm thấy"))</f>
        <v/>
      </c>
      <c r="AB5" s="5">
        <f>IF($T5="","",IFERROR(INDEX('DM_NgheNghiep'!$B$2:$B$11,AGGREGATE(15,6,ROW('DM_NgheNghiep'!$B$2:$B$11)-ROW('DM_NgheNghiep'!$B$2)+1/ISNUMBER(SEARCH(SUBSTITUTE(UPPER($T5)," ",""),'DM_NgheNghiep'!$C$2:$C$11)),1)),"Không tìm thấy"))</f>
        <v/>
      </c>
      <c r="AD5" s="5">
        <f>IF($U5="","",IFERROR(INDEX('DM_NoiCongTac'!$B$2:$B$11,AGGREGATE(15,6,ROW('DM_NoiCongTac'!$B$2:$B$11)-ROW('DM_NoiCongTac'!$B$2)+1/ISNUMBER(SEARCH(SUBSTITUTE(UPPER($U5)," ",""),'DM_NoiCongTac'!$C$2:$C$11)),1)),"Không tìm thấy"))</f>
        <v/>
      </c>
      <c r="AF5" s="5">
        <f>IF($V5="","",IFERROR(INDEX('DM_XaPhuong'!$B$2:$B$169,AGGREGATE(15,6,ROW('DM_XaPhuong'!$B$2:$B$169)-ROW('DM_XaPhuong'!$B$2)+1/ISNUMBER(SEARCH(SUBSTITUTE(UPPER($V5)," ",""),'DM_XaPhuong'!$C$2:$C$169)),1)),"Không tìm thấy"))</f>
        <v/>
      </c>
    </row>
    <row r="6">
      <c r="C6" s="5">
        <f>IF($B6="","",IFERROR(INDEX('DM_DoiTuong'!$B$2:$B$19,AGGREGATE(15,6,ROW('DM_DoiTuong'!$B$2:$B$19)-ROW('DM_DoiTuong'!$B$2)+1/ISNUMBER(SEARCH(SUBSTITUTE(UPPER($B6)," ",""),'DM_DoiTuong'!$C$2:$C$19)),1)),"Không tìm thấy"))</f>
        <v/>
      </c>
      <c r="E6" s="5">
        <f>IF($C6="","",IFERROR(INDEX('DM_DiaDiemKham'!$B$2:$B$6,AGGREGATE(15,6,ROW('DM_DiaDiemKham'!$B$2:$B$6)-ROW('DM_DiaDiemKham'!$B$2)+1/ISNUMBER(SEARCH(SUBSTITUTE(UPPER($C6)," ",""),'DM_DiaDiemKham'!$C$2:$C$6)),1)),"Không tìm thấy"))</f>
        <v/>
      </c>
      <c r="G6" s="5">
        <f>IF($D6="","",IFERROR(INDEX('DM_HinhThucChiTra'!$B$2:$B$5,AGGREGATE(15,6,ROW('DM_HinhThucChiTra'!$B$2:$B$5)-ROW('DM_HinhThucChiTra'!$B$2)+1/ISNUMBER(SEARCH(SUBSTITUTE(UPPER($D6)," ",""),'DM_HinhThucChiTra'!$C$2:$C$5)),1)),"Không tìm thấy"))</f>
        <v/>
      </c>
      <c r="I6" s="5">
        <f>IF($E6="","",IFERROR(INDEX('DM_HinhThucKham'!$B$2:$B$3,AGGREGATE(15,6,ROW('DM_HinhThucKham'!$B$2:$B$3)-ROW('DM_HinhThucKham'!$B$2)+1/ISNUMBER(SEARCH(SUBSTITUTE(UPPER($E6)," ",""),'DM_HinhThucKham'!$C$2:$C$3)),1)),"Không tìm thấy"))</f>
        <v/>
      </c>
      <c r="P6" s="5">
        <f>IF($K6="","",IFERROR(INDEX('DM_DanToc'!$B$2:$B$78,AGGREGATE(15,6,ROW('DM_DanToc'!$B$2:$B$78)-ROW('DM_DanToc'!$B$2)+1/ISNUMBER(SEARCH(SUBSTITUTE(UPPER($K6)," ",""),'DM_DanToc'!$C$2:$C$78)),1)),"Không tìm thấy"))</f>
        <v/>
      </c>
      <c r="W6" s="5">
        <f>IF($Q6="","",IFERROR(INDEX('DM_TinhThanh'!$B$2:$B$35,AGGREGATE(15,6,ROW('DM_TinhThanh'!$B$2:$B$35)-ROW('DM_TinhThanh'!$B$2)+1/ISNUMBER(SEARCH(SUBSTITUTE(UPPER($Q6)," ",""),'DM_TinhThanh'!$C$2:$C$35)),1)),"Không tìm thấy"))</f>
        <v/>
      </c>
      <c r="Y6" s="5">
        <f>IF($R6="","",IFERROR(INDEX('DM_XaPhuong'!$B$2:$B$169,AGGREGATE(15,6,ROW('DM_XaPhuong'!$B$2:$B$169)-ROW('DM_XaPhuong'!$B$2)+1/ISNUMBER(SEARCH(SUBSTITUTE(UPPER($R6)," ",""),'DM_XaPhuong'!$C$2:$C$169)),1)),"Không tìm thấy"))</f>
        <v/>
      </c>
      <c r="AB6" s="5">
        <f>IF($T6="","",IFERROR(INDEX('DM_NgheNghiep'!$B$2:$B$11,AGGREGATE(15,6,ROW('DM_NgheNghiep'!$B$2:$B$11)-ROW('DM_NgheNghiep'!$B$2)+1/ISNUMBER(SEARCH(SUBSTITUTE(UPPER($T6)," ",""),'DM_NgheNghiep'!$C$2:$C$11)),1)),"Không tìm thấy"))</f>
        <v/>
      </c>
      <c r="AD6" s="5">
        <f>IF($U6="","",IFERROR(INDEX('DM_NoiCongTac'!$B$2:$B$11,AGGREGATE(15,6,ROW('DM_NoiCongTac'!$B$2:$B$11)-ROW('DM_NoiCongTac'!$B$2)+1/ISNUMBER(SEARCH(SUBSTITUTE(UPPER($U6)," ",""),'DM_NoiCongTac'!$C$2:$C$11)),1)),"Không tìm thấy"))</f>
        <v/>
      </c>
      <c r="AF6" s="5">
        <f>IF($V6="","",IFERROR(INDEX('DM_XaPhuong'!$B$2:$B$169,AGGREGATE(15,6,ROW('DM_XaPhuong'!$B$2:$B$169)-ROW('DM_XaPhuong'!$B$2)+1/ISNUMBER(SEARCH(SUBSTITUTE(UPPER($V6)," ",""),'DM_XaPhuong'!$C$2:$C$169)),1)),"Không tìm thấy"))</f>
        <v/>
      </c>
    </row>
    <row r="7">
      <c r="C7" s="5">
        <f>IF($B7="","",IFERROR(INDEX('DM_DoiTuong'!$B$2:$B$19,AGGREGATE(15,6,ROW('DM_DoiTuong'!$B$2:$B$19)-ROW('DM_DoiTuong'!$B$2)+1/ISNUMBER(SEARCH(SUBSTITUTE(UPPER($B7)," ",""),'DM_DoiTuong'!$C$2:$C$19)),1)),"Không tìm thấy"))</f>
        <v/>
      </c>
      <c r="E7" s="5">
        <f>IF($C7="","",IFERROR(INDEX('DM_DiaDiemKham'!$B$2:$B$6,AGGREGATE(15,6,ROW('DM_DiaDiemKham'!$B$2:$B$6)-ROW('DM_DiaDiemKham'!$B$2)+1/ISNUMBER(SEARCH(SUBSTITUTE(UPPER($C7)," ",""),'DM_DiaDiemKham'!$C$2:$C$6)),1)),"Không tìm thấy"))</f>
        <v/>
      </c>
      <c r="G7" s="5">
        <f>IF($D7="","",IFERROR(INDEX('DM_HinhThucChiTra'!$B$2:$B$5,AGGREGATE(15,6,ROW('DM_HinhThucChiTra'!$B$2:$B$5)-ROW('DM_HinhThucChiTra'!$B$2)+1/ISNUMBER(SEARCH(SUBSTITUTE(UPPER($D7)," ",""),'DM_HinhThucChiTra'!$C$2:$C$5)),1)),"Không tìm thấy"))</f>
        <v/>
      </c>
      <c r="I7" s="5">
        <f>IF($E7="","",IFERROR(INDEX('DM_HinhThucKham'!$B$2:$B$3,AGGREGATE(15,6,ROW('DM_HinhThucKham'!$B$2:$B$3)-ROW('DM_HinhThucKham'!$B$2)+1/ISNUMBER(SEARCH(SUBSTITUTE(UPPER($E7)," ",""),'DM_HinhThucKham'!$C$2:$C$3)),1)),"Không tìm thấy"))</f>
        <v/>
      </c>
      <c r="P7" s="5">
        <f>IF($K7="","",IFERROR(INDEX('DM_DanToc'!$B$2:$B$78,AGGREGATE(15,6,ROW('DM_DanToc'!$B$2:$B$78)-ROW('DM_DanToc'!$B$2)+1/ISNUMBER(SEARCH(SUBSTITUTE(UPPER($K7)," ",""),'DM_DanToc'!$C$2:$C$78)),1)),"Không tìm thấy"))</f>
        <v/>
      </c>
      <c r="W7" s="5">
        <f>IF($Q7="","",IFERROR(INDEX('DM_TinhThanh'!$B$2:$B$35,AGGREGATE(15,6,ROW('DM_TinhThanh'!$B$2:$B$35)-ROW('DM_TinhThanh'!$B$2)+1/ISNUMBER(SEARCH(SUBSTITUTE(UPPER($Q7)," ",""),'DM_TinhThanh'!$C$2:$C$35)),1)),"Không tìm thấy"))</f>
        <v/>
      </c>
      <c r="Y7" s="5">
        <f>IF($R7="","",IFERROR(INDEX('DM_XaPhuong'!$B$2:$B$169,AGGREGATE(15,6,ROW('DM_XaPhuong'!$B$2:$B$169)-ROW('DM_XaPhuong'!$B$2)+1/ISNUMBER(SEARCH(SUBSTITUTE(UPPER($R7)," ",""),'DM_XaPhuong'!$C$2:$C$169)),1)),"Không tìm thấy"))</f>
        <v/>
      </c>
      <c r="AB7" s="5">
        <f>IF($T7="","",IFERROR(INDEX('DM_NgheNghiep'!$B$2:$B$11,AGGREGATE(15,6,ROW('DM_NgheNghiep'!$B$2:$B$11)-ROW('DM_NgheNghiep'!$B$2)+1/ISNUMBER(SEARCH(SUBSTITUTE(UPPER($T7)," ",""),'DM_NgheNghiep'!$C$2:$C$11)),1)),"Không tìm thấy"))</f>
        <v/>
      </c>
      <c r="AD7" s="5">
        <f>IF($U7="","",IFERROR(INDEX('DM_NoiCongTac'!$B$2:$B$11,AGGREGATE(15,6,ROW('DM_NoiCongTac'!$B$2:$B$11)-ROW('DM_NoiCongTac'!$B$2)+1/ISNUMBER(SEARCH(SUBSTITUTE(UPPER($U7)," ",""),'DM_NoiCongTac'!$C$2:$C$11)),1)),"Không tìm thấy"))</f>
        <v/>
      </c>
      <c r="AF7" s="5">
        <f>IF($V7="","",IFERROR(INDEX('DM_XaPhuong'!$B$2:$B$169,AGGREGATE(15,6,ROW('DM_XaPhuong'!$B$2:$B$169)-ROW('DM_XaPhuong'!$B$2)+1/ISNUMBER(SEARCH(SUBSTITUTE(UPPER($V7)," ",""),'DM_XaPhuong'!$C$2:$C$169)),1)),"Không tìm thấy"))</f>
        <v/>
      </c>
    </row>
    <row r="8">
      <c r="C8" s="5">
        <f>IF($B8="","",IFERROR(INDEX('DM_DoiTuong'!$B$2:$B$19,AGGREGATE(15,6,ROW('DM_DoiTuong'!$B$2:$B$19)-ROW('DM_DoiTuong'!$B$2)+1/ISNUMBER(SEARCH(SUBSTITUTE(UPPER($B8)," ",""),'DM_DoiTuong'!$C$2:$C$19)),1)),"Không tìm thấy"))</f>
        <v/>
      </c>
      <c r="E8" s="5">
        <f>IF($C8="","",IFERROR(INDEX('DM_DiaDiemKham'!$B$2:$B$6,AGGREGATE(15,6,ROW('DM_DiaDiemKham'!$B$2:$B$6)-ROW('DM_DiaDiemKham'!$B$2)+1/ISNUMBER(SEARCH(SUBSTITUTE(UPPER($C8)," ",""),'DM_DiaDiemKham'!$C$2:$C$6)),1)),"Không tìm thấy"))</f>
        <v/>
      </c>
      <c r="G8" s="5">
        <f>IF($D8="","",IFERROR(INDEX('DM_HinhThucChiTra'!$B$2:$B$5,AGGREGATE(15,6,ROW('DM_HinhThucChiTra'!$B$2:$B$5)-ROW('DM_HinhThucChiTra'!$B$2)+1/ISNUMBER(SEARCH(SUBSTITUTE(UPPER($D8)," ",""),'DM_HinhThucChiTra'!$C$2:$C$5)),1)),"Không tìm thấy"))</f>
        <v/>
      </c>
      <c r="I8" s="5">
        <f>IF($E8="","",IFERROR(INDEX('DM_HinhThucKham'!$B$2:$B$3,AGGREGATE(15,6,ROW('DM_HinhThucKham'!$B$2:$B$3)-ROW('DM_HinhThucKham'!$B$2)+1/ISNUMBER(SEARCH(SUBSTITUTE(UPPER($E8)," ",""),'DM_HinhThucKham'!$C$2:$C$3)),1)),"Không tìm thấy"))</f>
        <v/>
      </c>
      <c r="P8" s="5">
        <f>IF($K8="","",IFERROR(INDEX('DM_DanToc'!$B$2:$B$78,AGGREGATE(15,6,ROW('DM_DanToc'!$B$2:$B$78)-ROW('DM_DanToc'!$B$2)+1/ISNUMBER(SEARCH(SUBSTITUTE(UPPER($K8)," ",""),'DM_DanToc'!$C$2:$C$78)),1)),"Không tìm thấy"))</f>
        <v/>
      </c>
      <c r="W8" s="5">
        <f>IF($Q8="","",IFERROR(INDEX('DM_TinhThanh'!$B$2:$B$35,AGGREGATE(15,6,ROW('DM_TinhThanh'!$B$2:$B$35)-ROW('DM_TinhThanh'!$B$2)+1/ISNUMBER(SEARCH(SUBSTITUTE(UPPER($Q8)," ",""),'DM_TinhThanh'!$C$2:$C$35)),1)),"Không tìm thấy"))</f>
        <v/>
      </c>
      <c r="Y8" s="5">
        <f>IF($R8="","",IFERROR(INDEX('DM_XaPhuong'!$B$2:$B$169,AGGREGATE(15,6,ROW('DM_XaPhuong'!$B$2:$B$169)-ROW('DM_XaPhuong'!$B$2)+1/ISNUMBER(SEARCH(SUBSTITUTE(UPPER($R8)," ",""),'DM_XaPhuong'!$C$2:$C$169)),1)),"Không tìm thấy"))</f>
        <v/>
      </c>
      <c r="AB8" s="5">
        <f>IF($T8="","",IFERROR(INDEX('DM_NgheNghiep'!$B$2:$B$11,AGGREGATE(15,6,ROW('DM_NgheNghiep'!$B$2:$B$11)-ROW('DM_NgheNghiep'!$B$2)+1/ISNUMBER(SEARCH(SUBSTITUTE(UPPER($T8)," ",""),'DM_NgheNghiep'!$C$2:$C$11)),1)),"Không tìm thấy"))</f>
        <v/>
      </c>
      <c r="AD8" s="5">
        <f>IF($U8="","",IFERROR(INDEX('DM_NoiCongTac'!$B$2:$B$11,AGGREGATE(15,6,ROW('DM_NoiCongTac'!$B$2:$B$11)-ROW('DM_NoiCongTac'!$B$2)+1/ISNUMBER(SEARCH(SUBSTITUTE(UPPER($U8)," ",""),'DM_NoiCongTac'!$C$2:$C$11)),1)),"Không tìm thấy"))</f>
        <v/>
      </c>
      <c r="AF8" s="5">
        <f>IF($V8="","",IFERROR(INDEX('DM_XaPhuong'!$B$2:$B$169,AGGREGATE(15,6,ROW('DM_XaPhuong'!$B$2:$B$169)-ROW('DM_XaPhuong'!$B$2)+1/ISNUMBER(SEARCH(SUBSTITUTE(UPPER($V8)," ",""),'DM_XaPhuong'!$C$2:$C$169)),1)),"Không tìm thấy"))</f>
        <v/>
      </c>
    </row>
    <row r="9">
      <c r="C9" s="5">
        <f>IF($B9="","",IFERROR(INDEX('DM_DoiTuong'!$B$2:$B$19,AGGREGATE(15,6,ROW('DM_DoiTuong'!$B$2:$B$19)-ROW('DM_DoiTuong'!$B$2)+1/ISNUMBER(SEARCH(SUBSTITUTE(UPPER($B9)," ",""),'DM_DoiTuong'!$C$2:$C$19)),1)),"Không tìm thấy"))</f>
        <v/>
      </c>
      <c r="E9" s="5">
        <f>IF($C9="","",IFERROR(INDEX('DM_DiaDiemKham'!$B$2:$B$6,AGGREGATE(15,6,ROW('DM_DiaDiemKham'!$B$2:$B$6)-ROW('DM_DiaDiemKham'!$B$2)+1/ISNUMBER(SEARCH(SUBSTITUTE(UPPER($C9)," ",""),'DM_DiaDiemKham'!$C$2:$C$6)),1)),"Không tìm thấy"))</f>
        <v/>
      </c>
      <c r="G9" s="5">
        <f>IF($D9="","",IFERROR(INDEX('DM_HinhThucChiTra'!$B$2:$B$5,AGGREGATE(15,6,ROW('DM_HinhThucChiTra'!$B$2:$B$5)-ROW('DM_HinhThucChiTra'!$B$2)+1/ISNUMBER(SEARCH(SUBSTITUTE(UPPER($D9)," ",""),'DM_HinhThucChiTra'!$C$2:$C$5)),1)),"Không tìm thấy"))</f>
        <v/>
      </c>
      <c r="I9" s="5">
        <f>IF($E9="","",IFERROR(INDEX('DM_HinhThucKham'!$B$2:$B$3,AGGREGATE(15,6,ROW('DM_HinhThucKham'!$B$2:$B$3)-ROW('DM_HinhThucKham'!$B$2)+1/ISNUMBER(SEARCH(SUBSTITUTE(UPPER($E9)," ",""),'DM_HinhThucKham'!$C$2:$C$3)),1)),"Không tìm thấy"))</f>
        <v/>
      </c>
      <c r="P9" s="5">
        <f>IF($K9="","",IFERROR(INDEX('DM_DanToc'!$B$2:$B$78,AGGREGATE(15,6,ROW('DM_DanToc'!$B$2:$B$78)-ROW('DM_DanToc'!$B$2)+1/ISNUMBER(SEARCH(SUBSTITUTE(UPPER($K9)," ",""),'DM_DanToc'!$C$2:$C$78)),1)),"Không tìm thấy"))</f>
        <v/>
      </c>
      <c r="W9" s="5">
        <f>IF($Q9="","",IFERROR(INDEX('DM_TinhThanh'!$B$2:$B$35,AGGREGATE(15,6,ROW('DM_TinhThanh'!$B$2:$B$35)-ROW('DM_TinhThanh'!$B$2)+1/ISNUMBER(SEARCH(SUBSTITUTE(UPPER($Q9)," ",""),'DM_TinhThanh'!$C$2:$C$35)),1)),"Không tìm thấy"))</f>
        <v/>
      </c>
      <c r="Y9" s="5">
        <f>IF($R9="","",IFERROR(INDEX('DM_XaPhuong'!$B$2:$B$169,AGGREGATE(15,6,ROW('DM_XaPhuong'!$B$2:$B$169)-ROW('DM_XaPhuong'!$B$2)+1/ISNUMBER(SEARCH(SUBSTITUTE(UPPER($R9)," ",""),'DM_XaPhuong'!$C$2:$C$169)),1)),"Không tìm thấy"))</f>
        <v/>
      </c>
      <c r="AB9" s="5">
        <f>IF($T9="","",IFERROR(INDEX('DM_NgheNghiep'!$B$2:$B$11,AGGREGATE(15,6,ROW('DM_NgheNghiep'!$B$2:$B$11)-ROW('DM_NgheNghiep'!$B$2)+1/ISNUMBER(SEARCH(SUBSTITUTE(UPPER($T9)," ",""),'DM_NgheNghiep'!$C$2:$C$11)),1)),"Không tìm thấy"))</f>
        <v/>
      </c>
      <c r="AD9" s="5">
        <f>IF($U9="","",IFERROR(INDEX('DM_NoiCongTac'!$B$2:$B$11,AGGREGATE(15,6,ROW('DM_NoiCongTac'!$B$2:$B$11)-ROW('DM_NoiCongTac'!$B$2)+1/ISNUMBER(SEARCH(SUBSTITUTE(UPPER($U9)," ",""),'DM_NoiCongTac'!$C$2:$C$11)),1)),"Không tìm thấy"))</f>
        <v/>
      </c>
      <c r="AF9" s="5">
        <f>IF($V9="","",IFERROR(INDEX('DM_XaPhuong'!$B$2:$B$169,AGGREGATE(15,6,ROW('DM_XaPhuong'!$B$2:$B$169)-ROW('DM_XaPhuong'!$B$2)+1/ISNUMBER(SEARCH(SUBSTITUTE(UPPER($V9)," ",""),'DM_XaPhuong'!$C$2:$C$169)),1)),"Không tìm thấy"))</f>
        <v/>
      </c>
    </row>
    <row r="10">
      <c r="C10" s="5">
        <f>IF($B10="","",IFERROR(INDEX('DM_DoiTuong'!$B$2:$B$19,AGGREGATE(15,6,ROW('DM_DoiTuong'!$B$2:$B$19)-ROW('DM_DoiTuong'!$B$2)+1/ISNUMBER(SEARCH(SUBSTITUTE(UPPER($B10)," ",""),'DM_DoiTuong'!$C$2:$C$19)),1)),"Không tìm thấy"))</f>
        <v/>
      </c>
      <c r="E10" s="5">
        <f>IF($C10="","",IFERROR(INDEX('DM_DiaDiemKham'!$B$2:$B$6,AGGREGATE(15,6,ROW('DM_DiaDiemKham'!$B$2:$B$6)-ROW('DM_DiaDiemKham'!$B$2)+1/ISNUMBER(SEARCH(SUBSTITUTE(UPPER($C10)," ",""),'DM_DiaDiemKham'!$C$2:$C$6)),1)),"Không tìm thấy"))</f>
        <v/>
      </c>
      <c r="G10" s="5">
        <f>IF($D10="","",IFERROR(INDEX('DM_HinhThucChiTra'!$B$2:$B$5,AGGREGATE(15,6,ROW('DM_HinhThucChiTra'!$B$2:$B$5)-ROW('DM_HinhThucChiTra'!$B$2)+1/ISNUMBER(SEARCH(SUBSTITUTE(UPPER($D10)," ",""),'DM_HinhThucChiTra'!$C$2:$C$5)),1)),"Không tìm thấy"))</f>
        <v/>
      </c>
      <c r="I10" s="5">
        <f>IF($E10="","",IFERROR(INDEX('DM_HinhThucKham'!$B$2:$B$3,AGGREGATE(15,6,ROW('DM_HinhThucKham'!$B$2:$B$3)-ROW('DM_HinhThucKham'!$B$2)+1/ISNUMBER(SEARCH(SUBSTITUTE(UPPER($E10)," ",""),'DM_HinhThucKham'!$C$2:$C$3)),1)),"Không tìm thấy"))</f>
        <v/>
      </c>
      <c r="P10" s="5">
        <f>IF($K10="","",IFERROR(INDEX('DM_DanToc'!$B$2:$B$78,AGGREGATE(15,6,ROW('DM_DanToc'!$B$2:$B$78)-ROW('DM_DanToc'!$B$2)+1/ISNUMBER(SEARCH(SUBSTITUTE(UPPER($K10)," ",""),'DM_DanToc'!$C$2:$C$78)),1)),"Không tìm thấy"))</f>
        <v/>
      </c>
      <c r="W10" s="5">
        <f>IF($Q10="","",IFERROR(INDEX('DM_TinhThanh'!$B$2:$B$35,AGGREGATE(15,6,ROW('DM_TinhThanh'!$B$2:$B$35)-ROW('DM_TinhThanh'!$B$2)+1/ISNUMBER(SEARCH(SUBSTITUTE(UPPER($Q10)," ",""),'DM_TinhThanh'!$C$2:$C$35)),1)),"Không tìm thấy"))</f>
        <v/>
      </c>
      <c r="Y10" s="5">
        <f>IF($R10="","",IFERROR(INDEX('DM_XaPhuong'!$B$2:$B$169,AGGREGATE(15,6,ROW('DM_XaPhuong'!$B$2:$B$169)-ROW('DM_XaPhuong'!$B$2)+1/ISNUMBER(SEARCH(SUBSTITUTE(UPPER($R10)," ",""),'DM_XaPhuong'!$C$2:$C$169)),1)),"Không tìm thấy"))</f>
        <v/>
      </c>
      <c r="AB10" s="5">
        <f>IF($T10="","",IFERROR(INDEX('DM_NgheNghiep'!$B$2:$B$11,AGGREGATE(15,6,ROW('DM_NgheNghiep'!$B$2:$B$11)-ROW('DM_NgheNghiep'!$B$2)+1/ISNUMBER(SEARCH(SUBSTITUTE(UPPER($T10)," ",""),'DM_NgheNghiep'!$C$2:$C$11)),1)),"Không tìm thấy"))</f>
        <v/>
      </c>
      <c r="AD10" s="5">
        <f>IF($U10="","",IFERROR(INDEX('DM_NoiCongTac'!$B$2:$B$11,AGGREGATE(15,6,ROW('DM_NoiCongTac'!$B$2:$B$11)-ROW('DM_NoiCongTac'!$B$2)+1/ISNUMBER(SEARCH(SUBSTITUTE(UPPER($U10)," ",""),'DM_NoiCongTac'!$C$2:$C$11)),1)),"Không tìm thấy"))</f>
        <v/>
      </c>
      <c r="AF10" s="5">
        <f>IF($V10="","",IFERROR(INDEX('DM_XaPhuong'!$B$2:$B$169,AGGREGATE(15,6,ROW('DM_XaPhuong'!$B$2:$B$169)-ROW('DM_XaPhuong'!$B$2)+1/ISNUMBER(SEARCH(SUBSTITUTE(UPPER($V10)," ",""),'DM_XaPhuong'!$C$2:$C$169)),1)),"Không tìm thấy"))</f>
        <v/>
      </c>
    </row>
    <row r="11">
      <c r="C11" s="5">
        <f>IF($B11="","",IFERROR(INDEX('DM_DoiTuong'!$B$2:$B$19,AGGREGATE(15,6,ROW('DM_DoiTuong'!$B$2:$B$19)-ROW('DM_DoiTuong'!$B$2)+1/ISNUMBER(SEARCH(SUBSTITUTE(UPPER($B11)," ",""),'DM_DoiTuong'!$C$2:$C$19)),1)),"Không tìm thấy"))</f>
        <v/>
      </c>
      <c r="E11" s="5">
        <f>IF($C11="","",IFERROR(INDEX('DM_DiaDiemKham'!$B$2:$B$6,AGGREGATE(15,6,ROW('DM_DiaDiemKham'!$B$2:$B$6)-ROW('DM_DiaDiemKham'!$B$2)+1/ISNUMBER(SEARCH(SUBSTITUTE(UPPER($C11)," ",""),'DM_DiaDiemKham'!$C$2:$C$6)),1)),"Không tìm thấy"))</f>
        <v/>
      </c>
      <c r="G11" s="5">
        <f>IF($D11="","",IFERROR(INDEX('DM_HinhThucChiTra'!$B$2:$B$5,AGGREGATE(15,6,ROW('DM_HinhThucChiTra'!$B$2:$B$5)-ROW('DM_HinhThucChiTra'!$B$2)+1/ISNUMBER(SEARCH(SUBSTITUTE(UPPER($D11)," ",""),'DM_HinhThucChiTra'!$C$2:$C$5)),1)),"Không tìm thấy"))</f>
        <v/>
      </c>
      <c r="I11" s="5">
        <f>IF($E11="","",IFERROR(INDEX('DM_HinhThucKham'!$B$2:$B$3,AGGREGATE(15,6,ROW('DM_HinhThucKham'!$B$2:$B$3)-ROW('DM_HinhThucKham'!$B$2)+1/ISNUMBER(SEARCH(SUBSTITUTE(UPPER($E11)," ",""),'DM_HinhThucKham'!$C$2:$C$3)),1)),"Không tìm thấy"))</f>
        <v/>
      </c>
      <c r="P11" s="5">
        <f>IF($K11="","",IFERROR(INDEX('DM_DanToc'!$B$2:$B$78,AGGREGATE(15,6,ROW('DM_DanToc'!$B$2:$B$78)-ROW('DM_DanToc'!$B$2)+1/ISNUMBER(SEARCH(SUBSTITUTE(UPPER($K11)," ",""),'DM_DanToc'!$C$2:$C$78)),1)),"Không tìm thấy"))</f>
        <v/>
      </c>
      <c r="W11" s="5">
        <f>IF($Q11="","",IFERROR(INDEX('DM_TinhThanh'!$B$2:$B$35,AGGREGATE(15,6,ROW('DM_TinhThanh'!$B$2:$B$35)-ROW('DM_TinhThanh'!$B$2)+1/ISNUMBER(SEARCH(SUBSTITUTE(UPPER($Q11)," ",""),'DM_TinhThanh'!$C$2:$C$35)),1)),"Không tìm thấy"))</f>
        <v/>
      </c>
      <c r="Y11" s="5">
        <f>IF($R11="","",IFERROR(INDEX('DM_XaPhuong'!$B$2:$B$169,AGGREGATE(15,6,ROW('DM_XaPhuong'!$B$2:$B$169)-ROW('DM_XaPhuong'!$B$2)+1/ISNUMBER(SEARCH(SUBSTITUTE(UPPER($R11)," ",""),'DM_XaPhuong'!$C$2:$C$169)),1)),"Không tìm thấy"))</f>
        <v/>
      </c>
      <c r="AB11" s="5">
        <f>IF($T11="","",IFERROR(INDEX('DM_NgheNghiep'!$B$2:$B$11,AGGREGATE(15,6,ROW('DM_NgheNghiep'!$B$2:$B$11)-ROW('DM_NgheNghiep'!$B$2)+1/ISNUMBER(SEARCH(SUBSTITUTE(UPPER($T11)," ",""),'DM_NgheNghiep'!$C$2:$C$11)),1)),"Không tìm thấy"))</f>
        <v/>
      </c>
      <c r="AD11" s="5">
        <f>IF($U11="","",IFERROR(INDEX('DM_NoiCongTac'!$B$2:$B$11,AGGREGATE(15,6,ROW('DM_NoiCongTac'!$B$2:$B$11)-ROW('DM_NoiCongTac'!$B$2)+1/ISNUMBER(SEARCH(SUBSTITUTE(UPPER($U11)," ",""),'DM_NoiCongTac'!$C$2:$C$11)),1)),"Không tìm thấy"))</f>
        <v/>
      </c>
      <c r="AF11" s="5">
        <f>IF($V11="","",IFERROR(INDEX('DM_XaPhuong'!$B$2:$B$169,AGGREGATE(15,6,ROW('DM_XaPhuong'!$B$2:$B$169)-ROW('DM_XaPhuong'!$B$2)+1/ISNUMBER(SEARCH(SUBSTITUTE(UPPER($V11)," ",""),'DM_XaPhuong'!$C$2:$C$169)),1)),"Không tìm thấy"))</f>
        <v/>
      </c>
    </row>
    <row r="12">
      <c r="C12" s="5">
        <f>IF($B12="","",IFERROR(INDEX('DM_DoiTuong'!$B$2:$B$19,AGGREGATE(15,6,ROW('DM_DoiTuong'!$B$2:$B$19)-ROW('DM_DoiTuong'!$B$2)+1/ISNUMBER(SEARCH(SUBSTITUTE(UPPER($B12)," ",""),'DM_DoiTuong'!$C$2:$C$19)),1)),"Không tìm thấy"))</f>
        <v/>
      </c>
      <c r="E12" s="5">
        <f>IF($C12="","",IFERROR(INDEX('DM_DiaDiemKham'!$B$2:$B$6,AGGREGATE(15,6,ROW('DM_DiaDiemKham'!$B$2:$B$6)-ROW('DM_DiaDiemKham'!$B$2)+1/ISNUMBER(SEARCH(SUBSTITUTE(UPPER($C12)," ",""),'DM_DiaDiemKham'!$C$2:$C$6)),1)),"Không tìm thấy"))</f>
        <v/>
      </c>
      <c r="G12" s="5">
        <f>IF($D12="","",IFERROR(INDEX('DM_HinhThucChiTra'!$B$2:$B$5,AGGREGATE(15,6,ROW('DM_HinhThucChiTra'!$B$2:$B$5)-ROW('DM_HinhThucChiTra'!$B$2)+1/ISNUMBER(SEARCH(SUBSTITUTE(UPPER($D12)," ",""),'DM_HinhThucChiTra'!$C$2:$C$5)),1)),"Không tìm thấy"))</f>
        <v/>
      </c>
      <c r="I12" s="5">
        <f>IF($E12="","",IFERROR(INDEX('DM_HinhThucKham'!$B$2:$B$3,AGGREGATE(15,6,ROW('DM_HinhThucKham'!$B$2:$B$3)-ROW('DM_HinhThucKham'!$B$2)+1/ISNUMBER(SEARCH(SUBSTITUTE(UPPER($E12)," ",""),'DM_HinhThucKham'!$C$2:$C$3)),1)),"Không tìm thấy"))</f>
        <v/>
      </c>
      <c r="P12" s="5">
        <f>IF($K12="","",IFERROR(INDEX('DM_DanToc'!$B$2:$B$78,AGGREGATE(15,6,ROW('DM_DanToc'!$B$2:$B$78)-ROW('DM_DanToc'!$B$2)+1/ISNUMBER(SEARCH(SUBSTITUTE(UPPER($K12)," ",""),'DM_DanToc'!$C$2:$C$78)),1)),"Không tìm thấy"))</f>
        <v/>
      </c>
      <c r="W12" s="5">
        <f>IF($Q12="","",IFERROR(INDEX('DM_TinhThanh'!$B$2:$B$35,AGGREGATE(15,6,ROW('DM_TinhThanh'!$B$2:$B$35)-ROW('DM_TinhThanh'!$B$2)+1/ISNUMBER(SEARCH(SUBSTITUTE(UPPER($Q12)," ",""),'DM_TinhThanh'!$C$2:$C$35)),1)),"Không tìm thấy"))</f>
        <v/>
      </c>
      <c r="Y12" s="5">
        <f>IF($R12="","",IFERROR(INDEX('DM_XaPhuong'!$B$2:$B$169,AGGREGATE(15,6,ROW('DM_XaPhuong'!$B$2:$B$169)-ROW('DM_XaPhuong'!$B$2)+1/ISNUMBER(SEARCH(SUBSTITUTE(UPPER($R12)," ",""),'DM_XaPhuong'!$C$2:$C$169)),1)),"Không tìm thấy"))</f>
        <v/>
      </c>
      <c r="AB12" s="5">
        <f>IF($T12="","",IFERROR(INDEX('DM_NgheNghiep'!$B$2:$B$11,AGGREGATE(15,6,ROW('DM_NgheNghiep'!$B$2:$B$11)-ROW('DM_NgheNghiep'!$B$2)+1/ISNUMBER(SEARCH(SUBSTITUTE(UPPER($T12)," ",""),'DM_NgheNghiep'!$C$2:$C$11)),1)),"Không tìm thấy"))</f>
        <v/>
      </c>
      <c r="AD12" s="5">
        <f>IF($U12="","",IFERROR(INDEX('DM_NoiCongTac'!$B$2:$B$11,AGGREGATE(15,6,ROW('DM_NoiCongTac'!$B$2:$B$11)-ROW('DM_NoiCongTac'!$B$2)+1/ISNUMBER(SEARCH(SUBSTITUTE(UPPER($U12)," ",""),'DM_NoiCongTac'!$C$2:$C$11)),1)),"Không tìm thấy"))</f>
        <v/>
      </c>
      <c r="AF12" s="5">
        <f>IF($V12="","",IFERROR(INDEX('DM_XaPhuong'!$B$2:$B$169,AGGREGATE(15,6,ROW('DM_XaPhuong'!$B$2:$B$169)-ROW('DM_XaPhuong'!$B$2)+1/ISNUMBER(SEARCH(SUBSTITUTE(UPPER($V12)," ",""),'DM_XaPhuong'!$C$2:$C$169)),1)),"Không tìm thấy"))</f>
        <v/>
      </c>
    </row>
    <row r="13">
      <c r="C13" s="5">
        <f>IF($B13="","",IFERROR(INDEX('DM_DoiTuong'!$B$2:$B$19,AGGREGATE(15,6,ROW('DM_DoiTuong'!$B$2:$B$19)-ROW('DM_DoiTuong'!$B$2)+1/ISNUMBER(SEARCH(SUBSTITUTE(UPPER($B13)," ",""),'DM_DoiTuong'!$C$2:$C$19)),1)),"Không tìm thấy"))</f>
        <v/>
      </c>
      <c r="E13" s="5">
        <f>IF($C13="","",IFERROR(INDEX('DM_DiaDiemKham'!$B$2:$B$6,AGGREGATE(15,6,ROW('DM_DiaDiemKham'!$B$2:$B$6)-ROW('DM_DiaDiemKham'!$B$2)+1/ISNUMBER(SEARCH(SUBSTITUTE(UPPER($C13)," ",""),'DM_DiaDiemKham'!$C$2:$C$6)),1)),"Không tìm thấy"))</f>
        <v/>
      </c>
      <c r="G13" s="5">
        <f>IF($D13="","",IFERROR(INDEX('DM_HinhThucChiTra'!$B$2:$B$5,AGGREGATE(15,6,ROW('DM_HinhThucChiTra'!$B$2:$B$5)-ROW('DM_HinhThucChiTra'!$B$2)+1/ISNUMBER(SEARCH(SUBSTITUTE(UPPER($D13)," ",""),'DM_HinhThucChiTra'!$C$2:$C$5)),1)),"Không tìm thấy"))</f>
        <v/>
      </c>
      <c r="I13" s="5">
        <f>IF($E13="","",IFERROR(INDEX('DM_HinhThucKham'!$B$2:$B$3,AGGREGATE(15,6,ROW('DM_HinhThucKham'!$B$2:$B$3)-ROW('DM_HinhThucKham'!$B$2)+1/ISNUMBER(SEARCH(SUBSTITUTE(UPPER($E13)," ",""),'DM_HinhThucKham'!$C$2:$C$3)),1)),"Không tìm thấy"))</f>
        <v/>
      </c>
      <c r="P13" s="5">
        <f>IF($K13="","",IFERROR(INDEX('DM_DanToc'!$B$2:$B$78,AGGREGATE(15,6,ROW('DM_DanToc'!$B$2:$B$78)-ROW('DM_DanToc'!$B$2)+1/ISNUMBER(SEARCH(SUBSTITUTE(UPPER($K13)," ",""),'DM_DanToc'!$C$2:$C$78)),1)),"Không tìm thấy"))</f>
        <v/>
      </c>
      <c r="W13" s="5">
        <f>IF($Q13="","",IFERROR(INDEX('DM_TinhThanh'!$B$2:$B$35,AGGREGATE(15,6,ROW('DM_TinhThanh'!$B$2:$B$35)-ROW('DM_TinhThanh'!$B$2)+1/ISNUMBER(SEARCH(SUBSTITUTE(UPPER($Q13)," ",""),'DM_TinhThanh'!$C$2:$C$35)),1)),"Không tìm thấy"))</f>
        <v/>
      </c>
      <c r="Y13" s="5">
        <f>IF($R13="","",IFERROR(INDEX('DM_XaPhuong'!$B$2:$B$169,AGGREGATE(15,6,ROW('DM_XaPhuong'!$B$2:$B$169)-ROW('DM_XaPhuong'!$B$2)+1/ISNUMBER(SEARCH(SUBSTITUTE(UPPER($R13)," ",""),'DM_XaPhuong'!$C$2:$C$169)),1)),"Không tìm thấy"))</f>
        <v/>
      </c>
      <c r="AB13" s="5">
        <f>IF($T13="","",IFERROR(INDEX('DM_NgheNghiep'!$B$2:$B$11,AGGREGATE(15,6,ROW('DM_NgheNghiep'!$B$2:$B$11)-ROW('DM_NgheNghiep'!$B$2)+1/ISNUMBER(SEARCH(SUBSTITUTE(UPPER($T13)," ",""),'DM_NgheNghiep'!$C$2:$C$11)),1)),"Không tìm thấy"))</f>
        <v/>
      </c>
      <c r="AD13" s="5">
        <f>IF($U13="","",IFERROR(INDEX('DM_NoiCongTac'!$B$2:$B$11,AGGREGATE(15,6,ROW('DM_NoiCongTac'!$B$2:$B$11)-ROW('DM_NoiCongTac'!$B$2)+1/ISNUMBER(SEARCH(SUBSTITUTE(UPPER($U13)," ",""),'DM_NoiCongTac'!$C$2:$C$11)),1)),"Không tìm thấy"))</f>
        <v/>
      </c>
      <c r="AF13" s="5">
        <f>IF($V13="","",IFERROR(INDEX('DM_XaPhuong'!$B$2:$B$169,AGGREGATE(15,6,ROW('DM_XaPhuong'!$B$2:$B$169)-ROW('DM_XaPhuong'!$B$2)+1/ISNUMBER(SEARCH(SUBSTITUTE(UPPER($V13)," ",""),'DM_XaPhuong'!$C$2:$C$169)),1)),"Không tìm thấy"))</f>
        <v/>
      </c>
    </row>
    <row r="14">
      <c r="C14" s="5">
        <f>IF($B14="","",IFERROR(INDEX('DM_DoiTuong'!$B$2:$B$19,AGGREGATE(15,6,ROW('DM_DoiTuong'!$B$2:$B$19)-ROW('DM_DoiTuong'!$B$2)+1/ISNUMBER(SEARCH(SUBSTITUTE(UPPER($B14)," ",""),'DM_DoiTuong'!$C$2:$C$19)),1)),"Không tìm thấy"))</f>
        <v/>
      </c>
      <c r="E14" s="5">
        <f>IF($C14="","",IFERROR(INDEX('DM_DiaDiemKham'!$B$2:$B$6,AGGREGATE(15,6,ROW('DM_DiaDiemKham'!$B$2:$B$6)-ROW('DM_DiaDiemKham'!$B$2)+1/ISNUMBER(SEARCH(SUBSTITUTE(UPPER($C14)," ",""),'DM_DiaDiemKham'!$C$2:$C$6)),1)),"Không tìm thấy"))</f>
        <v/>
      </c>
      <c r="G14" s="5">
        <f>IF($D14="","",IFERROR(INDEX('DM_HinhThucChiTra'!$B$2:$B$5,AGGREGATE(15,6,ROW('DM_HinhThucChiTra'!$B$2:$B$5)-ROW('DM_HinhThucChiTra'!$B$2)+1/ISNUMBER(SEARCH(SUBSTITUTE(UPPER($D14)," ",""),'DM_HinhThucChiTra'!$C$2:$C$5)),1)),"Không tìm thấy"))</f>
        <v/>
      </c>
      <c r="I14" s="5">
        <f>IF($E14="","",IFERROR(INDEX('DM_HinhThucKham'!$B$2:$B$3,AGGREGATE(15,6,ROW('DM_HinhThucKham'!$B$2:$B$3)-ROW('DM_HinhThucKham'!$B$2)+1/ISNUMBER(SEARCH(SUBSTITUTE(UPPER($E14)," ",""),'DM_HinhThucKham'!$C$2:$C$3)),1)),"Không tìm thấy"))</f>
        <v/>
      </c>
      <c r="P14" s="5">
        <f>IF($K14="","",IFERROR(INDEX('DM_DanToc'!$B$2:$B$78,AGGREGATE(15,6,ROW('DM_DanToc'!$B$2:$B$78)-ROW('DM_DanToc'!$B$2)+1/ISNUMBER(SEARCH(SUBSTITUTE(UPPER($K14)," ",""),'DM_DanToc'!$C$2:$C$78)),1)),"Không tìm thấy"))</f>
        <v/>
      </c>
      <c r="W14" s="5">
        <f>IF($Q14="","",IFERROR(INDEX('DM_TinhThanh'!$B$2:$B$35,AGGREGATE(15,6,ROW('DM_TinhThanh'!$B$2:$B$35)-ROW('DM_TinhThanh'!$B$2)+1/ISNUMBER(SEARCH(SUBSTITUTE(UPPER($Q14)," ",""),'DM_TinhThanh'!$C$2:$C$35)),1)),"Không tìm thấy"))</f>
        <v/>
      </c>
      <c r="Y14" s="5">
        <f>IF($R14="","",IFERROR(INDEX('DM_XaPhuong'!$B$2:$B$169,AGGREGATE(15,6,ROW('DM_XaPhuong'!$B$2:$B$169)-ROW('DM_XaPhuong'!$B$2)+1/ISNUMBER(SEARCH(SUBSTITUTE(UPPER($R14)," ",""),'DM_XaPhuong'!$C$2:$C$169)),1)),"Không tìm thấy"))</f>
        <v/>
      </c>
      <c r="AB14" s="5">
        <f>IF($T14="","",IFERROR(INDEX('DM_NgheNghiep'!$B$2:$B$11,AGGREGATE(15,6,ROW('DM_NgheNghiep'!$B$2:$B$11)-ROW('DM_NgheNghiep'!$B$2)+1/ISNUMBER(SEARCH(SUBSTITUTE(UPPER($T14)," ",""),'DM_NgheNghiep'!$C$2:$C$11)),1)),"Không tìm thấy"))</f>
        <v/>
      </c>
      <c r="AD14" s="5">
        <f>IF($U14="","",IFERROR(INDEX('DM_NoiCongTac'!$B$2:$B$11,AGGREGATE(15,6,ROW('DM_NoiCongTac'!$B$2:$B$11)-ROW('DM_NoiCongTac'!$B$2)+1/ISNUMBER(SEARCH(SUBSTITUTE(UPPER($U14)," ",""),'DM_NoiCongTac'!$C$2:$C$11)),1)),"Không tìm thấy"))</f>
        <v/>
      </c>
      <c r="AF14" s="5">
        <f>IF($V14="","",IFERROR(INDEX('DM_XaPhuong'!$B$2:$B$169,AGGREGATE(15,6,ROW('DM_XaPhuong'!$B$2:$B$169)-ROW('DM_XaPhuong'!$B$2)+1/ISNUMBER(SEARCH(SUBSTITUTE(UPPER($V14)," ",""),'DM_XaPhuong'!$C$2:$C$169)),1)),"Không tìm thấy"))</f>
        <v/>
      </c>
    </row>
    <row r="15">
      <c r="C15" s="5">
        <f>IF($B15="","",IFERROR(INDEX('DM_DoiTuong'!$B$2:$B$19,AGGREGATE(15,6,ROW('DM_DoiTuong'!$B$2:$B$19)-ROW('DM_DoiTuong'!$B$2)+1/ISNUMBER(SEARCH(SUBSTITUTE(UPPER($B15)," ",""),'DM_DoiTuong'!$C$2:$C$19)),1)),"Không tìm thấy"))</f>
        <v/>
      </c>
      <c r="E15" s="5">
        <f>IF($C15="","",IFERROR(INDEX('DM_DiaDiemKham'!$B$2:$B$6,AGGREGATE(15,6,ROW('DM_DiaDiemKham'!$B$2:$B$6)-ROW('DM_DiaDiemKham'!$B$2)+1/ISNUMBER(SEARCH(SUBSTITUTE(UPPER($C15)," ",""),'DM_DiaDiemKham'!$C$2:$C$6)),1)),"Không tìm thấy"))</f>
        <v/>
      </c>
      <c r="G15" s="5">
        <f>IF($D15="","",IFERROR(INDEX('DM_HinhThucChiTra'!$B$2:$B$5,AGGREGATE(15,6,ROW('DM_HinhThucChiTra'!$B$2:$B$5)-ROW('DM_HinhThucChiTra'!$B$2)+1/ISNUMBER(SEARCH(SUBSTITUTE(UPPER($D15)," ",""),'DM_HinhThucChiTra'!$C$2:$C$5)),1)),"Không tìm thấy"))</f>
        <v/>
      </c>
      <c r="I15" s="5">
        <f>IF($E15="","",IFERROR(INDEX('DM_HinhThucKham'!$B$2:$B$3,AGGREGATE(15,6,ROW('DM_HinhThucKham'!$B$2:$B$3)-ROW('DM_HinhThucKham'!$B$2)+1/ISNUMBER(SEARCH(SUBSTITUTE(UPPER($E15)," ",""),'DM_HinhThucKham'!$C$2:$C$3)),1)),"Không tìm thấy"))</f>
        <v/>
      </c>
      <c r="P15" s="5">
        <f>IF($K15="","",IFERROR(INDEX('DM_DanToc'!$B$2:$B$78,AGGREGATE(15,6,ROW('DM_DanToc'!$B$2:$B$78)-ROW('DM_DanToc'!$B$2)+1/ISNUMBER(SEARCH(SUBSTITUTE(UPPER($K15)," ",""),'DM_DanToc'!$C$2:$C$78)),1)),"Không tìm thấy"))</f>
        <v/>
      </c>
      <c r="W15" s="5">
        <f>IF($Q15="","",IFERROR(INDEX('DM_TinhThanh'!$B$2:$B$35,AGGREGATE(15,6,ROW('DM_TinhThanh'!$B$2:$B$35)-ROW('DM_TinhThanh'!$B$2)+1/ISNUMBER(SEARCH(SUBSTITUTE(UPPER($Q15)," ",""),'DM_TinhThanh'!$C$2:$C$35)),1)),"Không tìm thấy"))</f>
        <v/>
      </c>
      <c r="Y15" s="5">
        <f>IF($R15="","",IFERROR(INDEX('DM_XaPhuong'!$B$2:$B$169,AGGREGATE(15,6,ROW('DM_XaPhuong'!$B$2:$B$169)-ROW('DM_XaPhuong'!$B$2)+1/ISNUMBER(SEARCH(SUBSTITUTE(UPPER($R15)," ",""),'DM_XaPhuong'!$C$2:$C$169)),1)),"Không tìm thấy"))</f>
        <v/>
      </c>
      <c r="AB15" s="5">
        <f>IF($T15="","",IFERROR(INDEX('DM_NgheNghiep'!$B$2:$B$11,AGGREGATE(15,6,ROW('DM_NgheNghiep'!$B$2:$B$11)-ROW('DM_NgheNghiep'!$B$2)+1/ISNUMBER(SEARCH(SUBSTITUTE(UPPER($T15)," ",""),'DM_NgheNghiep'!$C$2:$C$11)),1)),"Không tìm thấy"))</f>
        <v/>
      </c>
      <c r="AD15" s="5">
        <f>IF($U15="","",IFERROR(INDEX('DM_NoiCongTac'!$B$2:$B$11,AGGREGATE(15,6,ROW('DM_NoiCongTac'!$B$2:$B$11)-ROW('DM_NoiCongTac'!$B$2)+1/ISNUMBER(SEARCH(SUBSTITUTE(UPPER($U15)," ",""),'DM_NoiCongTac'!$C$2:$C$11)),1)),"Không tìm thấy"))</f>
        <v/>
      </c>
      <c r="AF15" s="5">
        <f>IF($V15="","",IFERROR(INDEX('DM_XaPhuong'!$B$2:$B$169,AGGREGATE(15,6,ROW('DM_XaPhuong'!$B$2:$B$169)-ROW('DM_XaPhuong'!$B$2)+1/ISNUMBER(SEARCH(SUBSTITUTE(UPPER($V15)," ",""),'DM_XaPhuong'!$C$2:$C$169)),1)),"Không tìm thấy"))</f>
        <v/>
      </c>
    </row>
    <row r="16">
      <c r="C16" s="5">
        <f>IF($B16="","",IFERROR(INDEX('DM_DoiTuong'!$B$2:$B$19,AGGREGATE(15,6,ROW('DM_DoiTuong'!$B$2:$B$19)-ROW('DM_DoiTuong'!$B$2)+1/ISNUMBER(SEARCH(SUBSTITUTE(UPPER($B16)," ",""),'DM_DoiTuong'!$C$2:$C$19)),1)),"Không tìm thấy"))</f>
        <v/>
      </c>
      <c r="E16" s="5">
        <f>IF($C16="","",IFERROR(INDEX('DM_DiaDiemKham'!$B$2:$B$6,AGGREGATE(15,6,ROW('DM_DiaDiemKham'!$B$2:$B$6)-ROW('DM_DiaDiemKham'!$B$2)+1/ISNUMBER(SEARCH(SUBSTITUTE(UPPER($C16)," ",""),'DM_DiaDiemKham'!$C$2:$C$6)),1)),"Không tìm thấy"))</f>
        <v/>
      </c>
      <c r="G16" s="5">
        <f>IF($D16="","",IFERROR(INDEX('DM_HinhThucChiTra'!$B$2:$B$5,AGGREGATE(15,6,ROW('DM_HinhThucChiTra'!$B$2:$B$5)-ROW('DM_HinhThucChiTra'!$B$2)+1/ISNUMBER(SEARCH(SUBSTITUTE(UPPER($D16)," ",""),'DM_HinhThucChiTra'!$C$2:$C$5)),1)),"Không tìm thấy"))</f>
        <v/>
      </c>
      <c r="I16" s="5">
        <f>IF($E16="","",IFERROR(INDEX('DM_HinhThucKham'!$B$2:$B$3,AGGREGATE(15,6,ROW('DM_HinhThucKham'!$B$2:$B$3)-ROW('DM_HinhThucKham'!$B$2)+1/ISNUMBER(SEARCH(SUBSTITUTE(UPPER($E16)," ",""),'DM_HinhThucKham'!$C$2:$C$3)),1)),"Không tìm thấy"))</f>
        <v/>
      </c>
      <c r="P16" s="5">
        <f>IF($K16="","",IFERROR(INDEX('DM_DanToc'!$B$2:$B$78,AGGREGATE(15,6,ROW('DM_DanToc'!$B$2:$B$78)-ROW('DM_DanToc'!$B$2)+1/ISNUMBER(SEARCH(SUBSTITUTE(UPPER($K16)," ",""),'DM_DanToc'!$C$2:$C$78)),1)),"Không tìm thấy"))</f>
        <v/>
      </c>
      <c r="W16" s="5">
        <f>IF($Q16="","",IFERROR(INDEX('DM_TinhThanh'!$B$2:$B$35,AGGREGATE(15,6,ROW('DM_TinhThanh'!$B$2:$B$35)-ROW('DM_TinhThanh'!$B$2)+1/ISNUMBER(SEARCH(SUBSTITUTE(UPPER($Q16)," ",""),'DM_TinhThanh'!$C$2:$C$35)),1)),"Không tìm thấy"))</f>
        <v/>
      </c>
      <c r="Y16" s="5">
        <f>IF($R16="","",IFERROR(INDEX('DM_XaPhuong'!$B$2:$B$169,AGGREGATE(15,6,ROW('DM_XaPhuong'!$B$2:$B$169)-ROW('DM_XaPhuong'!$B$2)+1/ISNUMBER(SEARCH(SUBSTITUTE(UPPER($R16)," ",""),'DM_XaPhuong'!$C$2:$C$169)),1)),"Không tìm thấy"))</f>
        <v/>
      </c>
      <c r="AB16" s="5">
        <f>IF($T16="","",IFERROR(INDEX('DM_NgheNghiep'!$B$2:$B$11,AGGREGATE(15,6,ROW('DM_NgheNghiep'!$B$2:$B$11)-ROW('DM_NgheNghiep'!$B$2)+1/ISNUMBER(SEARCH(SUBSTITUTE(UPPER($T16)," ",""),'DM_NgheNghiep'!$C$2:$C$11)),1)),"Không tìm thấy"))</f>
        <v/>
      </c>
      <c r="AD16" s="5">
        <f>IF($U16="","",IFERROR(INDEX('DM_NoiCongTac'!$B$2:$B$11,AGGREGATE(15,6,ROW('DM_NoiCongTac'!$B$2:$B$11)-ROW('DM_NoiCongTac'!$B$2)+1/ISNUMBER(SEARCH(SUBSTITUTE(UPPER($U16)," ",""),'DM_NoiCongTac'!$C$2:$C$11)),1)),"Không tìm thấy"))</f>
        <v/>
      </c>
      <c r="AF16" s="5">
        <f>IF($V16="","",IFERROR(INDEX('DM_XaPhuong'!$B$2:$B$169,AGGREGATE(15,6,ROW('DM_XaPhuong'!$B$2:$B$169)-ROW('DM_XaPhuong'!$B$2)+1/ISNUMBER(SEARCH(SUBSTITUTE(UPPER($V16)," ",""),'DM_XaPhuong'!$C$2:$C$169)),1)),"Không tìm thấy"))</f>
        <v/>
      </c>
    </row>
    <row r="17">
      <c r="C17" s="5">
        <f>IF($B17="","",IFERROR(INDEX('DM_DoiTuong'!$B$2:$B$19,AGGREGATE(15,6,ROW('DM_DoiTuong'!$B$2:$B$19)-ROW('DM_DoiTuong'!$B$2)+1/ISNUMBER(SEARCH(SUBSTITUTE(UPPER($B17)," ",""),'DM_DoiTuong'!$C$2:$C$19)),1)),"Không tìm thấy"))</f>
        <v/>
      </c>
      <c r="E17" s="5">
        <f>IF($C17="","",IFERROR(INDEX('DM_DiaDiemKham'!$B$2:$B$6,AGGREGATE(15,6,ROW('DM_DiaDiemKham'!$B$2:$B$6)-ROW('DM_DiaDiemKham'!$B$2)+1/ISNUMBER(SEARCH(SUBSTITUTE(UPPER($C17)," ",""),'DM_DiaDiemKham'!$C$2:$C$6)),1)),"Không tìm thấy"))</f>
        <v/>
      </c>
      <c r="G17" s="5">
        <f>IF($D17="","",IFERROR(INDEX('DM_HinhThucChiTra'!$B$2:$B$5,AGGREGATE(15,6,ROW('DM_HinhThucChiTra'!$B$2:$B$5)-ROW('DM_HinhThucChiTra'!$B$2)+1/ISNUMBER(SEARCH(SUBSTITUTE(UPPER($D17)," ",""),'DM_HinhThucChiTra'!$C$2:$C$5)),1)),"Không tìm thấy"))</f>
        <v/>
      </c>
      <c r="I17" s="5">
        <f>IF($E17="","",IFERROR(INDEX('DM_HinhThucKham'!$B$2:$B$3,AGGREGATE(15,6,ROW('DM_HinhThucKham'!$B$2:$B$3)-ROW('DM_HinhThucKham'!$B$2)+1/ISNUMBER(SEARCH(SUBSTITUTE(UPPER($E17)," ",""),'DM_HinhThucKham'!$C$2:$C$3)),1)),"Không tìm thấy"))</f>
        <v/>
      </c>
      <c r="P17" s="5">
        <f>IF($K17="","",IFERROR(INDEX('DM_DanToc'!$B$2:$B$78,AGGREGATE(15,6,ROW('DM_DanToc'!$B$2:$B$78)-ROW('DM_DanToc'!$B$2)+1/ISNUMBER(SEARCH(SUBSTITUTE(UPPER($K17)," ",""),'DM_DanToc'!$C$2:$C$78)),1)),"Không tìm thấy"))</f>
        <v/>
      </c>
      <c r="W17" s="5">
        <f>IF($Q17="","",IFERROR(INDEX('DM_TinhThanh'!$B$2:$B$35,AGGREGATE(15,6,ROW('DM_TinhThanh'!$B$2:$B$35)-ROW('DM_TinhThanh'!$B$2)+1/ISNUMBER(SEARCH(SUBSTITUTE(UPPER($Q17)," ",""),'DM_TinhThanh'!$C$2:$C$35)),1)),"Không tìm thấy"))</f>
        <v/>
      </c>
      <c r="Y17" s="5">
        <f>IF($R17="","",IFERROR(INDEX('DM_XaPhuong'!$B$2:$B$169,AGGREGATE(15,6,ROW('DM_XaPhuong'!$B$2:$B$169)-ROW('DM_XaPhuong'!$B$2)+1/ISNUMBER(SEARCH(SUBSTITUTE(UPPER($R17)," ",""),'DM_XaPhuong'!$C$2:$C$169)),1)),"Không tìm thấy"))</f>
        <v/>
      </c>
      <c r="AB17" s="5">
        <f>IF($T17="","",IFERROR(INDEX('DM_NgheNghiep'!$B$2:$B$11,AGGREGATE(15,6,ROW('DM_NgheNghiep'!$B$2:$B$11)-ROW('DM_NgheNghiep'!$B$2)+1/ISNUMBER(SEARCH(SUBSTITUTE(UPPER($T17)," ",""),'DM_NgheNghiep'!$C$2:$C$11)),1)),"Không tìm thấy"))</f>
        <v/>
      </c>
      <c r="AD17" s="5">
        <f>IF($U17="","",IFERROR(INDEX('DM_NoiCongTac'!$B$2:$B$11,AGGREGATE(15,6,ROW('DM_NoiCongTac'!$B$2:$B$11)-ROW('DM_NoiCongTac'!$B$2)+1/ISNUMBER(SEARCH(SUBSTITUTE(UPPER($U17)," ",""),'DM_NoiCongTac'!$C$2:$C$11)),1)),"Không tìm thấy"))</f>
        <v/>
      </c>
      <c r="AF17" s="5">
        <f>IF($V17="","",IFERROR(INDEX('DM_XaPhuong'!$B$2:$B$169,AGGREGATE(15,6,ROW('DM_XaPhuong'!$B$2:$B$169)-ROW('DM_XaPhuong'!$B$2)+1/ISNUMBER(SEARCH(SUBSTITUTE(UPPER($V17)," ",""),'DM_XaPhuong'!$C$2:$C$169)),1)),"Không tìm thấy"))</f>
        <v/>
      </c>
    </row>
    <row r="18">
      <c r="C18" s="5">
        <f>IF($B18="","",IFERROR(INDEX('DM_DoiTuong'!$B$2:$B$19,AGGREGATE(15,6,ROW('DM_DoiTuong'!$B$2:$B$19)-ROW('DM_DoiTuong'!$B$2)+1/ISNUMBER(SEARCH(SUBSTITUTE(UPPER($B18)," ",""),'DM_DoiTuong'!$C$2:$C$19)),1)),"Không tìm thấy"))</f>
        <v/>
      </c>
      <c r="E18" s="5">
        <f>IF($C18="","",IFERROR(INDEX('DM_DiaDiemKham'!$B$2:$B$6,AGGREGATE(15,6,ROW('DM_DiaDiemKham'!$B$2:$B$6)-ROW('DM_DiaDiemKham'!$B$2)+1/ISNUMBER(SEARCH(SUBSTITUTE(UPPER($C18)," ",""),'DM_DiaDiemKham'!$C$2:$C$6)),1)),"Không tìm thấy"))</f>
        <v/>
      </c>
      <c r="G18" s="5">
        <f>IF($D18="","",IFERROR(INDEX('DM_HinhThucChiTra'!$B$2:$B$5,AGGREGATE(15,6,ROW('DM_HinhThucChiTra'!$B$2:$B$5)-ROW('DM_HinhThucChiTra'!$B$2)+1/ISNUMBER(SEARCH(SUBSTITUTE(UPPER($D18)," ",""),'DM_HinhThucChiTra'!$C$2:$C$5)),1)),"Không tìm thấy"))</f>
        <v/>
      </c>
      <c r="I18" s="5">
        <f>IF($E18="","",IFERROR(INDEX('DM_HinhThucKham'!$B$2:$B$3,AGGREGATE(15,6,ROW('DM_HinhThucKham'!$B$2:$B$3)-ROW('DM_HinhThucKham'!$B$2)+1/ISNUMBER(SEARCH(SUBSTITUTE(UPPER($E18)," ",""),'DM_HinhThucKham'!$C$2:$C$3)),1)),"Không tìm thấy"))</f>
        <v/>
      </c>
      <c r="P18" s="5">
        <f>IF($K18="","",IFERROR(INDEX('DM_DanToc'!$B$2:$B$78,AGGREGATE(15,6,ROW('DM_DanToc'!$B$2:$B$78)-ROW('DM_DanToc'!$B$2)+1/ISNUMBER(SEARCH(SUBSTITUTE(UPPER($K18)," ",""),'DM_DanToc'!$C$2:$C$78)),1)),"Không tìm thấy"))</f>
        <v/>
      </c>
      <c r="W18" s="5">
        <f>IF($Q18="","",IFERROR(INDEX('DM_TinhThanh'!$B$2:$B$35,AGGREGATE(15,6,ROW('DM_TinhThanh'!$B$2:$B$35)-ROW('DM_TinhThanh'!$B$2)+1/ISNUMBER(SEARCH(SUBSTITUTE(UPPER($Q18)," ",""),'DM_TinhThanh'!$C$2:$C$35)),1)),"Không tìm thấy"))</f>
        <v/>
      </c>
      <c r="Y18" s="5">
        <f>IF($R18="","",IFERROR(INDEX('DM_XaPhuong'!$B$2:$B$169,AGGREGATE(15,6,ROW('DM_XaPhuong'!$B$2:$B$169)-ROW('DM_XaPhuong'!$B$2)+1/ISNUMBER(SEARCH(SUBSTITUTE(UPPER($R18)," ",""),'DM_XaPhuong'!$C$2:$C$169)),1)),"Không tìm thấy"))</f>
        <v/>
      </c>
      <c r="AB18" s="5">
        <f>IF($T18="","",IFERROR(INDEX('DM_NgheNghiep'!$B$2:$B$11,AGGREGATE(15,6,ROW('DM_NgheNghiep'!$B$2:$B$11)-ROW('DM_NgheNghiep'!$B$2)+1/ISNUMBER(SEARCH(SUBSTITUTE(UPPER($T18)," ",""),'DM_NgheNghiep'!$C$2:$C$11)),1)),"Không tìm thấy"))</f>
        <v/>
      </c>
      <c r="AD18" s="5">
        <f>IF($U18="","",IFERROR(INDEX('DM_NoiCongTac'!$B$2:$B$11,AGGREGATE(15,6,ROW('DM_NoiCongTac'!$B$2:$B$11)-ROW('DM_NoiCongTac'!$B$2)+1/ISNUMBER(SEARCH(SUBSTITUTE(UPPER($U18)," ",""),'DM_NoiCongTac'!$C$2:$C$11)),1)),"Không tìm thấy"))</f>
        <v/>
      </c>
      <c r="AF18" s="5">
        <f>IF($V18="","",IFERROR(INDEX('DM_XaPhuong'!$B$2:$B$169,AGGREGATE(15,6,ROW('DM_XaPhuong'!$B$2:$B$169)-ROW('DM_XaPhuong'!$B$2)+1/ISNUMBER(SEARCH(SUBSTITUTE(UPPER($V18)," ",""),'DM_XaPhuong'!$C$2:$C$169)),1)),"Không tìm thấy"))</f>
        <v/>
      </c>
    </row>
    <row r="19">
      <c r="C19" s="5">
        <f>IF($B19="","",IFERROR(INDEX('DM_DoiTuong'!$B$2:$B$19,AGGREGATE(15,6,ROW('DM_DoiTuong'!$B$2:$B$19)-ROW('DM_DoiTuong'!$B$2)+1/ISNUMBER(SEARCH(SUBSTITUTE(UPPER($B19)," ",""),'DM_DoiTuong'!$C$2:$C$19)),1)),"Không tìm thấy"))</f>
        <v/>
      </c>
      <c r="E19" s="5">
        <f>IF($C19="","",IFERROR(INDEX('DM_DiaDiemKham'!$B$2:$B$6,AGGREGATE(15,6,ROW('DM_DiaDiemKham'!$B$2:$B$6)-ROW('DM_DiaDiemKham'!$B$2)+1/ISNUMBER(SEARCH(SUBSTITUTE(UPPER($C19)," ",""),'DM_DiaDiemKham'!$C$2:$C$6)),1)),"Không tìm thấy"))</f>
        <v/>
      </c>
      <c r="G19" s="5">
        <f>IF($D19="","",IFERROR(INDEX('DM_HinhThucChiTra'!$B$2:$B$5,AGGREGATE(15,6,ROW('DM_HinhThucChiTra'!$B$2:$B$5)-ROW('DM_HinhThucChiTra'!$B$2)+1/ISNUMBER(SEARCH(SUBSTITUTE(UPPER($D19)," ",""),'DM_HinhThucChiTra'!$C$2:$C$5)),1)),"Không tìm thấy"))</f>
        <v/>
      </c>
      <c r="I19" s="5">
        <f>IF($E19="","",IFERROR(INDEX('DM_HinhThucKham'!$B$2:$B$3,AGGREGATE(15,6,ROW('DM_HinhThucKham'!$B$2:$B$3)-ROW('DM_HinhThucKham'!$B$2)+1/ISNUMBER(SEARCH(SUBSTITUTE(UPPER($E19)," ",""),'DM_HinhThucKham'!$C$2:$C$3)),1)),"Không tìm thấy"))</f>
        <v/>
      </c>
      <c r="P19" s="5">
        <f>IF($K19="","",IFERROR(INDEX('DM_DanToc'!$B$2:$B$78,AGGREGATE(15,6,ROW('DM_DanToc'!$B$2:$B$78)-ROW('DM_DanToc'!$B$2)+1/ISNUMBER(SEARCH(SUBSTITUTE(UPPER($K19)," ",""),'DM_DanToc'!$C$2:$C$78)),1)),"Không tìm thấy"))</f>
        <v/>
      </c>
      <c r="W19" s="5">
        <f>IF($Q19="","",IFERROR(INDEX('DM_TinhThanh'!$B$2:$B$35,AGGREGATE(15,6,ROW('DM_TinhThanh'!$B$2:$B$35)-ROW('DM_TinhThanh'!$B$2)+1/ISNUMBER(SEARCH(SUBSTITUTE(UPPER($Q19)," ",""),'DM_TinhThanh'!$C$2:$C$35)),1)),"Không tìm thấy"))</f>
        <v/>
      </c>
      <c r="Y19" s="5">
        <f>IF($R19="","",IFERROR(INDEX('DM_XaPhuong'!$B$2:$B$169,AGGREGATE(15,6,ROW('DM_XaPhuong'!$B$2:$B$169)-ROW('DM_XaPhuong'!$B$2)+1/ISNUMBER(SEARCH(SUBSTITUTE(UPPER($R19)," ",""),'DM_XaPhuong'!$C$2:$C$169)),1)),"Không tìm thấy"))</f>
        <v/>
      </c>
      <c r="AB19" s="5">
        <f>IF($T19="","",IFERROR(INDEX('DM_NgheNghiep'!$B$2:$B$11,AGGREGATE(15,6,ROW('DM_NgheNghiep'!$B$2:$B$11)-ROW('DM_NgheNghiep'!$B$2)+1/ISNUMBER(SEARCH(SUBSTITUTE(UPPER($T19)," ",""),'DM_NgheNghiep'!$C$2:$C$11)),1)),"Không tìm thấy"))</f>
        <v/>
      </c>
      <c r="AD19" s="5">
        <f>IF($U19="","",IFERROR(INDEX('DM_NoiCongTac'!$B$2:$B$11,AGGREGATE(15,6,ROW('DM_NoiCongTac'!$B$2:$B$11)-ROW('DM_NoiCongTac'!$B$2)+1/ISNUMBER(SEARCH(SUBSTITUTE(UPPER($U19)," ",""),'DM_NoiCongTac'!$C$2:$C$11)),1)),"Không tìm thấy"))</f>
        <v/>
      </c>
      <c r="AF19" s="5">
        <f>IF($V19="","",IFERROR(INDEX('DM_XaPhuong'!$B$2:$B$169,AGGREGATE(15,6,ROW('DM_XaPhuong'!$B$2:$B$169)-ROW('DM_XaPhuong'!$B$2)+1/ISNUMBER(SEARCH(SUBSTITUTE(UPPER($V19)," ",""),'DM_XaPhuong'!$C$2:$C$169)),1)),"Không tìm thấy"))</f>
        <v/>
      </c>
    </row>
    <row r="20">
      <c r="C20" s="5">
        <f>IF($B20="","",IFERROR(INDEX('DM_DoiTuong'!$B$2:$B$19,AGGREGATE(15,6,ROW('DM_DoiTuong'!$B$2:$B$19)-ROW('DM_DoiTuong'!$B$2)+1/ISNUMBER(SEARCH(SUBSTITUTE(UPPER($B20)," ",""),'DM_DoiTuong'!$C$2:$C$19)),1)),"Không tìm thấy"))</f>
        <v/>
      </c>
      <c r="E20" s="5">
        <f>IF($C20="","",IFERROR(INDEX('DM_DiaDiemKham'!$B$2:$B$6,AGGREGATE(15,6,ROW('DM_DiaDiemKham'!$B$2:$B$6)-ROW('DM_DiaDiemKham'!$B$2)+1/ISNUMBER(SEARCH(SUBSTITUTE(UPPER($C20)," ",""),'DM_DiaDiemKham'!$C$2:$C$6)),1)),"Không tìm thấy"))</f>
        <v/>
      </c>
      <c r="G20" s="5">
        <f>IF($D20="","",IFERROR(INDEX('DM_HinhThucChiTra'!$B$2:$B$5,AGGREGATE(15,6,ROW('DM_HinhThucChiTra'!$B$2:$B$5)-ROW('DM_HinhThucChiTra'!$B$2)+1/ISNUMBER(SEARCH(SUBSTITUTE(UPPER($D20)," ",""),'DM_HinhThucChiTra'!$C$2:$C$5)),1)),"Không tìm thấy"))</f>
        <v/>
      </c>
      <c r="I20" s="5">
        <f>IF($E20="","",IFERROR(INDEX('DM_HinhThucKham'!$B$2:$B$3,AGGREGATE(15,6,ROW('DM_HinhThucKham'!$B$2:$B$3)-ROW('DM_HinhThucKham'!$B$2)+1/ISNUMBER(SEARCH(SUBSTITUTE(UPPER($E20)," ",""),'DM_HinhThucKham'!$C$2:$C$3)),1)),"Không tìm thấy"))</f>
        <v/>
      </c>
      <c r="P20" s="5">
        <f>IF($K20="","",IFERROR(INDEX('DM_DanToc'!$B$2:$B$78,AGGREGATE(15,6,ROW('DM_DanToc'!$B$2:$B$78)-ROW('DM_DanToc'!$B$2)+1/ISNUMBER(SEARCH(SUBSTITUTE(UPPER($K20)," ",""),'DM_DanToc'!$C$2:$C$78)),1)),"Không tìm thấy"))</f>
        <v/>
      </c>
      <c r="W20" s="5">
        <f>IF($Q20="","",IFERROR(INDEX('DM_TinhThanh'!$B$2:$B$35,AGGREGATE(15,6,ROW('DM_TinhThanh'!$B$2:$B$35)-ROW('DM_TinhThanh'!$B$2)+1/ISNUMBER(SEARCH(SUBSTITUTE(UPPER($Q20)," ",""),'DM_TinhThanh'!$C$2:$C$35)),1)),"Không tìm thấy"))</f>
        <v/>
      </c>
      <c r="Y20" s="5">
        <f>IF($R20="","",IFERROR(INDEX('DM_XaPhuong'!$B$2:$B$169,AGGREGATE(15,6,ROW('DM_XaPhuong'!$B$2:$B$169)-ROW('DM_XaPhuong'!$B$2)+1/ISNUMBER(SEARCH(SUBSTITUTE(UPPER($R20)," ",""),'DM_XaPhuong'!$C$2:$C$169)),1)),"Không tìm thấy"))</f>
        <v/>
      </c>
      <c r="AB20" s="5">
        <f>IF($T20="","",IFERROR(INDEX('DM_NgheNghiep'!$B$2:$B$11,AGGREGATE(15,6,ROW('DM_NgheNghiep'!$B$2:$B$11)-ROW('DM_NgheNghiep'!$B$2)+1/ISNUMBER(SEARCH(SUBSTITUTE(UPPER($T20)," ",""),'DM_NgheNghiep'!$C$2:$C$11)),1)),"Không tìm thấy"))</f>
        <v/>
      </c>
      <c r="AD20" s="5">
        <f>IF($U20="","",IFERROR(INDEX('DM_NoiCongTac'!$B$2:$B$11,AGGREGATE(15,6,ROW('DM_NoiCongTac'!$B$2:$B$11)-ROW('DM_NoiCongTac'!$B$2)+1/ISNUMBER(SEARCH(SUBSTITUTE(UPPER($U20)," ",""),'DM_NoiCongTac'!$C$2:$C$11)),1)),"Không tìm thấy"))</f>
        <v/>
      </c>
      <c r="AF20" s="5">
        <f>IF($V20="","",IFERROR(INDEX('DM_XaPhuong'!$B$2:$B$169,AGGREGATE(15,6,ROW('DM_XaPhuong'!$B$2:$B$169)-ROW('DM_XaPhuong'!$B$2)+1/ISNUMBER(SEARCH(SUBSTITUTE(UPPER($V20)," ",""),'DM_XaPhuong'!$C$2:$C$169)),1)),"Không tìm thấy"))</f>
        <v/>
      </c>
    </row>
    <row r="21">
      <c r="C21" s="5">
        <f>IF($B21="","",IFERROR(INDEX('DM_DoiTuong'!$B$2:$B$19,AGGREGATE(15,6,ROW('DM_DoiTuong'!$B$2:$B$19)-ROW('DM_DoiTuong'!$B$2)+1/ISNUMBER(SEARCH(SUBSTITUTE(UPPER($B21)," ",""),'DM_DoiTuong'!$C$2:$C$19)),1)),"Không tìm thấy"))</f>
        <v/>
      </c>
      <c r="E21" s="5">
        <f>IF($C21="","",IFERROR(INDEX('DM_DiaDiemKham'!$B$2:$B$6,AGGREGATE(15,6,ROW('DM_DiaDiemKham'!$B$2:$B$6)-ROW('DM_DiaDiemKham'!$B$2)+1/ISNUMBER(SEARCH(SUBSTITUTE(UPPER($C21)," ",""),'DM_DiaDiemKham'!$C$2:$C$6)),1)),"Không tìm thấy"))</f>
        <v/>
      </c>
      <c r="G21" s="5">
        <f>IF($D21="","",IFERROR(INDEX('DM_HinhThucChiTra'!$B$2:$B$5,AGGREGATE(15,6,ROW('DM_HinhThucChiTra'!$B$2:$B$5)-ROW('DM_HinhThucChiTra'!$B$2)+1/ISNUMBER(SEARCH(SUBSTITUTE(UPPER($D21)," ",""),'DM_HinhThucChiTra'!$C$2:$C$5)),1)),"Không tìm thấy"))</f>
        <v/>
      </c>
      <c r="I21" s="5">
        <f>IF($E21="","",IFERROR(INDEX('DM_HinhThucKham'!$B$2:$B$3,AGGREGATE(15,6,ROW('DM_HinhThucKham'!$B$2:$B$3)-ROW('DM_HinhThucKham'!$B$2)+1/ISNUMBER(SEARCH(SUBSTITUTE(UPPER($E21)," ",""),'DM_HinhThucKham'!$C$2:$C$3)),1)),"Không tìm thấy"))</f>
        <v/>
      </c>
      <c r="P21" s="5">
        <f>IF($K21="","",IFERROR(INDEX('DM_DanToc'!$B$2:$B$78,AGGREGATE(15,6,ROW('DM_DanToc'!$B$2:$B$78)-ROW('DM_DanToc'!$B$2)+1/ISNUMBER(SEARCH(SUBSTITUTE(UPPER($K21)," ",""),'DM_DanToc'!$C$2:$C$78)),1)),"Không tìm thấy"))</f>
        <v/>
      </c>
      <c r="W21" s="5">
        <f>IF($Q21="","",IFERROR(INDEX('DM_TinhThanh'!$B$2:$B$35,AGGREGATE(15,6,ROW('DM_TinhThanh'!$B$2:$B$35)-ROW('DM_TinhThanh'!$B$2)+1/ISNUMBER(SEARCH(SUBSTITUTE(UPPER($Q21)," ",""),'DM_TinhThanh'!$C$2:$C$35)),1)),"Không tìm thấy"))</f>
        <v/>
      </c>
      <c r="Y21" s="5">
        <f>IF($R21="","",IFERROR(INDEX('DM_XaPhuong'!$B$2:$B$169,AGGREGATE(15,6,ROW('DM_XaPhuong'!$B$2:$B$169)-ROW('DM_XaPhuong'!$B$2)+1/ISNUMBER(SEARCH(SUBSTITUTE(UPPER($R21)," ",""),'DM_XaPhuong'!$C$2:$C$169)),1)),"Không tìm thấy"))</f>
        <v/>
      </c>
      <c r="AB21" s="5">
        <f>IF($T21="","",IFERROR(INDEX('DM_NgheNghiep'!$B$2:$B$11,AGGREGATE(15,6,ROW('DM_NgheNghiep'!$B$2:$B$11)-ROW('DM_NgheNghiep'!$B$2)+1/ISNUMBER(SEARCH(SUBSTITUTE(UPPER($T21)," ",""),'DM_NgheNghiep'!$C$2:$C$11)),1)),"Không tìm thấy"))</f>
        <v/>
      </c>
      <c r="AD21" s="5">
        <f>IF($U21="","",IFERROR(INDEX('DM_NoiCongTac'!$B$2:$B$11,AGGREGATE(15,6,ROW('DM_NoiCongTac'!$B$2:$B$11)-ROW('DM_NoiCongTac'!$B$2)+1/ISNUMBER(SEARCH(SUBSTITUTE(UPPER($U21)," ",""),'DM_NoiCongTac'!$C$2:$C$11)),1)),"Không tìm thấy"))</f>
        <v/>
      </c>
      <c r="AF21" s="5">
        <f>IF($V21="","",IFERROR(INDEX('DM_XaPhuong'!$B$2:$B$169,AGGREGATE(15,6,ROW('DM_XaPhuong'!$B$2:$B$169)-ROW('DM_XaPhuong'!$B$2)+1/ISNUMBER(SEARCH(SUBSTITUTE(UPPER($V21)," ",""),'DM_XaPhuong'!$C$2:$C$169)),1)),"Không tìm thấy"))</f>
        <v/>
      </c>
    </row>
    <row r="22">
      <c r="C22" s="5">
        <f>IF($B22="","",IFERROR(INDEX('DM_DoiTuong'!$B$2:$B$19,AGGREGATE(15,6,ROW('DM_DoiTuong'!$B$2:$B$19)-ROW('DM_DoiTuong'!$B$2)+1/ISNUMBER(SEARCH(SUBSTITUTE(UPPER($B22)," ",""),'DM_DoiTuong'!$C$2:$C$19)),1)),"Không tìm thấy"))</f>
        <v/>
      </c>
      <c r="E22" s="5">
        <f>IF($C22="","",IFERROR(INDEX('DM_DiaDiemKham'!$B$2:$B$6,AGGREGATE(15,6,ROW('DM_DiaDiemKham'!$B$2:$B$6)-ROW('DM_DiaDiemKham'!$B$2)+1/ISNUMBER(SEARCH(SUBSTITUTE(UPPER($C22)," ",""),'DM_DiaDiemKham'!$C$2:$C$6)),1)),"Không tìm thấy"))</f>
        <v/>
      </c>
      <c r="G22" s="5">
        <f>IF($D22="","",IFERROR(INDEX('DM_HinhThucChiTra'!$B$2:$B$5,AGGREGATE(15,6,ROW('DM_HinhThucChiTra'!$B$2:$B$5)-ROW('DM_HinhThucChiTra'!$B$2)+1/ISNUMBER(SEARCH(SUBSTITUTE(UPPER($D22)," ",""),'DM_HinhThucChiTra'!$C$2:$C$5)),1)),"Không tìm thấy"))</f>
        <v/>
      </c>
      <c r="I22" s="5">
        <f>IF($E22="","",IFERROR(INDEX('DM_HinhThucKham'!$B$2:$B$3,AGGREGATE(15,6,ROW('DM_HinhThucKham'!$B$2:$B$3)-ROW('DM_HinhThucKham'!$B$2)+1/ISNUMBER(SEARCH(SUBSTITUTE(UPPER($E22)," ",""),'DM_HinhThucKham'!$C$2:$C$3)),1)),"Không tìm thấy"))</f>
        <v/>
      </c>
      <c r="P22" s="5">
        <f>IF($K22="","",IFERROR(INDEX('DM_DanToc'!$B$2:$B$78,AGGREGATE(15,6,ROW('DM_DanToc'!$B$2:$B$78)-ROW('DM_DanToc'!$B$2)+1/ISNUMBER(SEARCH(SUBSTITUTE(UPPER($K22)," ",""),'DM_DanToc'!$C$2:$C$78)),1)),"Không tìm thấy"))</f>
        <v/>
      </c>
      <c r="W22" s="5">
        <f>IF($Q22="","",IFERROR(INDEX('DM_TinhThanh'!$B$2:$B$35,AGGREGATE(15,6,ROW('DM_TinhThanh'!$B$2:$B$35)-ROW('DM_TinhThanh'!$B$2)+1/ISNUMBER(SEARCH(SUBSTITUTE(UPPER($Q22)," ",""),'DM_TinhThanh'!$C$2:$C$35)),1)),"Không tìm thấy"))</f>
        <v/>
      </c>
      <c r="Y22" s="5">
        <f>IF($R22="","",IFERROR(INDEX('DM_XaPhuong'!$B$2:$B$169,AGGREGATE(15,6,ROW('DM_XaPhuong'!$B$2:$B$169)-ROW('DM_XaPhuong'!$B$2)+1/ISNUMBER(SEARCH(SUBSTITUTE(UPPER($R22)," ",""),'DM_XaPhuong'!$C$2:$C$169)),1)),"Không tìm thấy"))</f>
        <v/>
      </c>
      <c r="AB22" s="5">
        <f>IF($T22="","",IFERROR(INDEX('DM_NgheNghiep'!$B$2:$B$11,AGGREGATE(15,6,ROW('DM_NgheNghiep'!$B$2:$B$11)-ROW('DM_NgheNghiep'!$B$2)+1/ISNUMBER(SEARCH(SUBSTITUTE(UPPER($T22)," ",""),'DM_NgheNghiep'!$C$2:$C$11)),1)),"Không tìm thấy"))</f>
        <v/>
      </c>
      <c r="AD22" s="5">
        <f>IF($U22="","",IFERROR(INDEX('DM_NoiCongTac'!$B$2:$B$11,AGGREGATE(15,6,ROW('DM_NoiCongTac'!$B$2:$B$11)-ROW('DM_NoiCongTac'!$B$2)+1/ISNUMBER(SEARCH(SUBSTITUTE(UPPER($U22)," ",""),'DM_NoiCongTac'!$C$2:$C$11)),1)),"Không tìm thấy"))</f>
        <v/>
      </c>
      <c r="AF22" s="5">
        <f>IF($V22="","",IFERROR(INDEX('DM_XaPhuong'!$B$2:$B$169,AGGREGATE(15,6,ROW('DM_XaPhuong'!$B$2:$B$169)-ROW('DM_XaPhuong'!$B$2)+1/ISNUMBER(SEARCH(SUBSTITUTE(UPPER($V22)," ",""),'DM_XaPhuong'!$C$2:$C$169)),1)),"Không tìm thấy"))</f>
        <v/>
      </c>
    </row>
    <row r="23">
      <c r="C23" s="5">
        <f>IF($B23="","",IFERROR(INDEX('DM_DoiTuong'!$B$2:$B$19,AGGREGATE(15,6,ROW('DM_DoiTuong'!$B$2:$B$19)-ROW('DM_DoiTuong'!$B$2)+1/ISNUMBER(SEARCH(SUBSTITUTE(UPPER($B23)," ",""),'DM_DoiTuong'!$C$2:$C$19)),1)),"Không tìm thấy"))</f>
        <v/>
      </c>
      <c r="E23" s="5">
        <f>IF($C23="","",IFERROR(INDEX('DM_DiaDiemKham'!$B$2:$B$6,AGGREGATE(15,6,ROW('DM_DiaDiemKham'!$B$2:$B$6)-ROW('DM_DiaDiemKham'!$B$2)+1/ISNUMBER(SEARCH(SUBSTITUTE(UPPER($C23)," ",""),'DM_DiaDiemKham'!$C$2:$C$6)),1)),"Không tìm thấy"))</f>
        <v/>
      </c>
      <c r="G23" s="5">
        <f>IF($D23="","",IFERROR(INDEX('DM_HinhThucChiTra'!$B$2:$B$5,AGGREGATE(15,6,ROW('DM_HinhThucChiTra'!$B$2:$B$5)-ROW('DM_HinhThucChiTra'!$B$2)+1/ISNUMBER(SEARCH(SUBSTITUTE(UPPER($D23)," ",""),'DM_HinhThucChiTra'!$C$2:$C$5)),1)),"Không tìm thấy"))</f>
        <v/>
      </c>
      <c r="I23" s="5">
        <f>IF($E23="","",IFERROR(INDEX('DM_HinhThucKham'!$B$2:$B$3,AGGREGATE(15,6,ROW('DM_HinhThucKham'!$B$2:$B$3)-ROW('DM_HinhThucKham'!$B$2)+1/ISNUMBER(SEARCH(SUBSTITUTE(UPPER($E23)," ",""),'DM_HinhThucKham'!$C$2:$C$3)),1)),"Không tìm thấy"))</f>
        <v/>
      </c>
      <c r="P23" s="5">
        <f>IF($K23="","",IFERROR(INDEX('DM_DanToc'!$B$2:$B$78,AGGREGATE(15,6,ROW('DM_DanToc'!$B$2:$B$78)-ROW('DM_DanToc'!$B$2)+1/ISNUMBER(SEARCH(SUBSTITUTE(UPPER($K23)," ",""),'DM_DanToc'!$C$2:$C$78)),1)),"Không tìm thấy"))</f>
        <v/>
      </c>
      <c r="W23" s="5">
        <f>IF($Q23="","",IFERROR(INDEX('DM_TinhThanh'!$B$2:$B$35,AGGREGATE(15,6,ROW('DM_TinhThanh'!$B$2:$B$35)-ROW('DM_TinhThanh'!$B$2)+1/ISNUMBER(SEARCH(SUBSTITUTE(UPPER($Q23)," ",""),'DM_TinhThanh'!$C$2:$C$35)),1)),"Không tìm thấy"))</f>
        <v/>
      </c>
      <c r="Y23" s="5">
        <f>IF($R23="","",IFERROR(INDEX('DM_XaPhuong'!$B$2:$B$169,AGGREGATE(15,6,ROW('DM_XaPhuong'!$B$2:$B$169)-ROW('DM_XaPhuong'!$B$2)+1/ISNUMBER(SEARCH(SUBSTITUTE(UPPER($R23)," ",""),'DM_XaPhuong'!$C$2:$C$169)),1)),"Không tìm thấy"))</f>
        <v/>
      </c>
      <c r="AB23" s="5">
        <f>IF($T23="","",IFERROR(INDEX('DM_NgheNghiep'!$B$2:$B$11,AGGREGATE(15,6,ROW('DM_NgheNghiep'!$B$2:$B$11)-ROW('DM_NgheNghiep'!$B$2)+1/ISNUMBER(SEARCH(SUBSTITUTE(UPPER($T23)," ",""),'DM_NgheNghiep'!$C$2:$C$11)),1)),"Không tìm thấy"))</f>
        <v/>
      </c>
      <c r="AD23" s="5">
        <f>IF($U23="","",IFERROR(INDEX('DM_NoiCongTac'!$B$2:$B$11,AGGREGATE(15,6,ROW('DM_NoiCongTac'!$B$2:$B$11)-ROW('DM_NoiCongTac'!$B$2)+1/ISNUMBER(SEARCH(SUBSTITUTE(UPPER($U23)," ",""),'DM_NoiCongTac'!$C$2:$C$11)),1)),"Không tìm thấy"))</f>
        <v/>
      </c>
      <c r="AF23" s="5">
        <f>IF($V23="","",IFERROR(INDEX('DM_XaPhuong'!$B$2:$B$169,AGGREGATE(15,6,ROW('DM_XaPhuong'!$B$2:$B$169)-ROW('DM_XaPhuong'!$B$2)+1/ISNUMBER(SEARCH(SUBSTITUTE(UPPER($V23)," ",""),'DM_XaPhuong'!$C$2:$C$169)),1)),"Không tìm thấy"))</f>
        <v/>
      </c>
    </row>
    <row r="24">
      <c r="C24" s="5">
        <f>IF($B24="","",IFERROR(INDEX('DM_DoiTuong'!$B$2:$B$19,AGGREGATE(15,6,ROW('DM_DoiTuong'!$B$2:$B$19)-ROW('DM_DoiTuong'!$B$2)+1/ISNUMBER(SEARCH(SUBSTITUTE(UPPER($B24)," ",""),'DM_DoiTuong'!$C$2:$C$19)),1)),"Không tìm thấy"))</f>
        <v/>
      </c>
      <c r="E24" s="5">
        <f>IF($C24="","",IFERROR(INDEX('DM_DiaDiemKham'!$B$2:$B$6,AGGREGATE(15,6,ROW('DM_DiaDiemKham'!$B$2:$B$6)-ROW('DM_DiaDiemKham'!$B$2)+1/ISNUMBER(SEARCH(SUBSTITUTE(UPPER($C24)," ",""),'DM_DiaDiemKham'!$C$2:$C$6)),1)),"Không tìm thấy"))</f>
        <v/>
      </c>
      <c r="G24" s="5">
        <f>IF($D24="","",IFERROR(INDEX('DM_HinhThucChiTra'!$B$2:$B$5,AGGREGATE(15,6,ROW('DM_HinhThucChiTra'!$B$2:$B$5)-ROW('DM_HinhThucChiTra'!$B$2)+1/ISNUMBER(SEARCH(SUBSTITUTE(UPPER($D24)," ",""),'DM_HinhThucChiTra'!$C$2:$C$5)),1)),"Không tìm thấy"))</f>
        <v/>
      </c>
      <c r="I24" s="5">
        <f>IF($E24="","",IFERROR(INDEX('DM_HinhThucKham'!$B$2:$B$3,AGGREGATE(15,6,ROW('DM_HinhThucKham'!$B$2:$B$3)-ROW('DM_HinhThucKham'!$B$2)+1/ISNUMBER(SEARCH(SUBSTITUTE(UPPER($E24)," ",""),'DM_HinhThucKham'!$C$2:$C$3)),1)),"Không tìm thấy"))</f>
        <v/>
      </c>
      <c r="P24" s="5">
        <f>IF($K24="","",IFERROR(INDEX('DM_DanToc'!$B$2:$B$78,AGGREGATE(15,6,ROW('DM_DanToc'!$B$2:$B$78)-ROW('DM_DanToc'!$B$2)+1/ISNUMBER(SEARCH(SUBSTITUTE(UPPER($K24)," ",""),'DM_DanToc'!$C$2:$C$78)),1)),"Không tìm thấy"))</f>
        <v/>
      </c>
      <c r="W24" s="5">
        <f>IF($Q24="","",IFERROR(INDEX('DM_TinhThanh'!$B$2:$B$35,AGGREGATE(15,6,ROW('DM_TinhThanh'!$B$2:$B$35)-ROW('DM_TinhThanh'!$B$2)+1/ISNUMBER(SEARCH(SUBSTITUTE(UPPER($Q24)," ",""),'DM_TinhThanh'!$C$2:$C$35)),1)),"Không tìm thấy"))</f>
        <v/>
      </c>
      <c r="Y24" s="5">
        <f>IF($R24="","",IFERROR(INDEX('DM_XaPhuong'!$B$2:$B$169,AGGREGATE(15,6,ROW('DM_XaPhuong'!$B$2:$B$169)-ROW('DM_XaPhuong'!$B$2)+1/ISNUMBER(SEARCH(SUBSTITUTE(UPPER($R24)," ",""),'DM_XaPhuong'!$C$2:$C$169)),1)),"Không tìm thấy"))</f>
        <v/>
      </c>
      <c r="AB24" s="5">
        <f>IF($T24="","",IFERROR(INDEX('DM_NgheNghiep'!$B$2:$B$11,AGGREGATE(15,6,ROW('DM_NgheNghiep'!$B$2:$B$11)-ROW('DM_NgheNghiep'!$B$2)+1/ISNUMBER(SEARCH(SUBSTITUTE(UPPER($T24)," ",""),'DM_NgheNghiep'!$C$2:$C$11)),1)),"Không tìm thấy"))</f>
        <v/>
      </c>
      <c r="AD24" s="5">
        <f>IF($U24="","",IFERROR(INDEX('DM_NoiCongTac'!$B$2:$B$11,AGGREGATE(15,6,ROW('DM_NoiCongTac'!$B$2:$B$11)-ROW('DM_NoiCongTac'!$B$2)+1/ISNUMBER(SEARCH(SUBSTITUTE(UPPER($U24)," ",""),'DM_NoiCongTac'!$C$2:$C$11)),1)),"Không tìm thấy"))</f>
        <v/>
      </c>
      <c r="AF24" s="5">
        <f>IF($V24="","",IFERROR(INDEX('DM_XaPhuong'!$B$2:$B$169,AGGREGATE(15,6,ROW('DM_XaPhuong'!$B$2:$B$169)-ROW('DM_XaPhuong'!$B$2)+1/ISNUMBER(SEARCH(SUBSTITUTE(UPPER($V24)," ",""),'DM_XaPhuong'!$C$2:$C$169)),1)),"Không tìm thấy"))</f>
        <v/>
      </c>
    </row>
    <row r="25">
      <c r="C25" s="5">
        <f>IF($B25="","",IFERROR(INDEX('DM_DoiTuong'!$B$2:$B$19,AGGREGATE(15,6,ROW('DM_DoiTuong'!$B$2:$B$19)-ROW('DM_DoiTuong'!$B$2)+1/ISNUMBER(SEARCH(SUBSTITUTE(UPPER($B25)," ",""),'DM_DoiTuong'!$C$2:$C$19)),1)),"Không tìm thấy"))</f>
        <v/>
      </c>
      <c r="E25" s="5">
        <f>IF($C25="","",IFERROR(INDEX('DM_DiaDiemKham'!$B$2:$B$6,AGGREGATE(15,6,ROW('DM_DiaDiemKham'!$B$2:$B$6)-ROW('DM_DiaDiemKham'!$B$2)+1/ISNUMBER(SEARCH(SUBSTITUTE(UPPER($C25)," ",""),'DM_DiaDiemKham'!$C$2:$C$6)),1)),"Không tìm thấy"))</f>
        <v/>
      </c>
      <c r="G25" s="5">
        <f>IF($D25="","",IFERROR(INDEX('DM_HinhThucChiTra'!$B$2:$B$5,AGGREGATE(15,6,ROW('DM_HinhThucChiTra'!$B$2:$B$5)-ROW('DM_HinhThucChiTra'!$B$2)+1/ISNUMBER(SEARCH(SUBSTITUTE(UPPER($D25)," ",""),'DM_HinhThucChiTra'!$C$2:$C$5)),1)),"Không tìm thấy"))</f>
        <v/>
      </c>
      <c r="I25" s="5">
        <f>IF($E25="","",IFERROR(INDEX('DM_HinhThucKham'!$B$2:$B$3,AGGREGATE(15,6,ROW('DM_HinhThucKham'!$B$2:$B$3)-ROW('DM_HinhThucKham'!$B$2)+1/ISNUMBER(SEARCH(SUBSTITUTE(UPPER($E25)," ",""),'DM_HinhThucKham'!$C$2:$C$3)),1)),"Không tìm thấy"))</f>
        <v/>
      </c>
      <c r="P25" s="5">
        <f>IF($K25="","",IFERROR(INDEX('DM_DanToc'!$B$2:$B$78,AGGREGATE(15,6,ROW('DM_DanToc'!$B$2:$B$78)-ROW('DM_DanToc'!$B$2)+1/ISNUMBER(SEARCH(SUBSTITUTE(UPPER($K25)," ",""),'DM_DanToc'!$C$2:$C$78)),1)),"Không tìm thấy"))</f>
        <v/>
      </c>
      <c r="W25" s="5">
        <f>IF($Q25="","",IFERROR(INDEX('DM_TinhThanh'!$B$2:$B$35,AGGREGATE(15,6,ROW('DM_TinhThanh'!$B$2:$B$35)-ROW('DM_TinhThanh'!$B$2)+1/ISNUMBER(SEARCH(SUBSTITUTE(UPPER($Q25)," ",""),'DM_TinhThanh'!$C$2:$C$35)),1)),"Không tìm thấy"))</f>
        <v/>
      </c>
      <c r="Y25" s="5">
        <f>IF($R25="","",IFERROR(INDEX('DM_XaPhuong'!$B$2:$B$169,AGGREGATE(15,6,ROW('DM_XaPhuong'!$B$2:$B$169)-ROW('DM_XaPhuong'!$B$2)+1/ISNUMBER(SEARCH(SUBSTITUTE(UPPER($R25)," ",""),'DM_XaPhuong'!$C$2:$C$169)),1)),"Không tìm thấy"))</f>
        <v/>
      </c>
      <c r="AB25" s="5">
        <f>IF($T25="","",IFERROR(INDEX('DM_NgheNghiep'!$B$2:$B$11,AGGREGATE(15,6,ROW('DM_NgheNghiep'!$B$2:$B$11)-ROW('DM_NgheNghiep'!$B$2)+1/ISNUMBER(SEARCH(SUBSTITUTE(UPPER($T25)," ",""),'DM_NgheNghiep'!$C$2:$C$11)),1)),"Không tìm thấy"))</f>
        <v/>
      </c>
      <c r="AD25" s="5">
        <f>IF($U25="","",IFERROR(INDEX('DM_NoiCongTac'!$B$2:$B$11,AGGREGATE(15,6,ROW('DM_NoiCongTac'!$B$2:$B$11)-ROW('DM_NoiCongTac'!$B$2)+1/ISNUMBER(SEARCH(SUBSTITUTE(UPPER($U25)," ",""),'DM_NoiCongTac'!$C$2:$C$11)),1)),"Không tìm thấy"))</f>
        <v/>
      </c>
      <c r="AF25" s="5">
        <f>IF($V25="","",IFERROR(INDEX('DM_XaPhuong'!$B$2:$B$169,AGGREGATE(15,6,ROW('DM_XaPhuong'!$B$2:$B$169)-ROW('DM_XaPhuong'!$B$2)+1/ISNUMBER(SEARCH(SUBSTITUTE(UPPER($V25)," ",""),'DM_XaPhuong'!$C$2:$C$169)),1)),"Không tìm thấy"))</f>
        <v/>
      </c>
    </row>
    <row r="26">
      <c r="C26" s="5">
        <f>IF($B26="","",IFERROR(INDEX('DM_DoiTuong'!$B$2:$B$19,AGGREGATE(15,6,ROW('DM_DoiTuong'!$B$2:$B$19)-ROW('DM_DoiTuong'!$B$2)+1/ISNUMBER(SEARCH(SUBSTITUTE(UPPER($B26)," ",""),'DM_DoiTuong'!$C$2:$C$19)),1)),"Không tìm thấy"))</f>
        <v/>
      </c>
      <c r="E26" s="5">
        <f>IF($C26="","",IFERROR(INDEX('DM_DiaDiemKham'!$B$2:$B$6,AGGREGATE(15,6,ROW('DM_DiaDiemKham'!$B$2:$B$6)-ROW('DM_DiaDiemKham'!$B$2)+1/ISNUMBER(SEARCH(SUBSTITUTE(UPPER($C26)," ",""),'DM_DiaDiemKham'!$C$2:$C$6)),1)),"Không tìm thấy"))</f>
        <v/>
      </c>
      <c r="G26" s="5">
        <f>IF($D26="","",IFERROR(INDEX('DM_HinhThucChiTra'!$B$2:$B$5,AGGREGATE(15,6,ROW('DM_HinhThucChiTra'!$B$2:$B$5)-ROW('DM_HinhThucChiTra'!$B$2)+1/ISNUMBER(SEARCH(SUBSTITUTE(UPPER($D26)," ",""),'DM_HinhThucChiTra'!$C$2:$C$5)),1)),"Không tìm thấy"))</f>
        <v/>
      </c>
      <c r="I26" s="5">
        <f>IF($E26="","",IFERROR(INDEX('DM_HinhThucKham'!$B$2:$B$3,AGGREGATE(15,6,ROW('DM_HinhThucKham'!$B$2:$B$3)-ROW('DM_HinhThucKham'!$B$2)+1/ISNUMBER(SEARCH(SUBSTITUTE(UPPER($E26)," ",""),'DM_HinhThucKham'!$C$2:$C$3)),1)),"Không tìm thấy"))</f>
        <v/>
      </c>
      <c r="P26" s="5">
        <f>IF($K26="","",IFERROR(INDEX('DM_DanToc'!$B$2:$B$78,AGGREGATE(15,6,ROW('DM_DanToc'!$B$2:$B$78)-ROW('DM_DanToc'!$B$2)+1/ISNUMBER(SEARCH(SUBSTITUTE(UPPER($K26)," ",""),'DM_DanToc'!$C$2:$C$78)),1)),"Không tìm thấy"))</f>
        <v/>
      </c>
      <c r="W26" s="5">
        <f>IF($Q26="","",IFERROR(INDEX('DM_TinhThanh'!$B$2:$B$35,AGGREGATE(15,6,ROW('DM_TinhThanh'!$B$2:$B$35)-ROW('DM_TinhThanh'!$B$2)+1/ISNUMBER(SEARCH(SUBSTITUTE(UPPER($Q26)," ",""),'DM_TinhThanh'!$C$2:$C$35)),1)),"Không tìm thấy"))</f>
        <v/>
      </c>
      <c r="Y26" s="5">
        <f>IF($R26="","",IFERROR(INDEX('DM_XaPhuong'!$B$2:$B$169,AGGREGATE(15,6,ROW('DM_XaPhuong'!$B$2:$B$169)-ROW('DM_XaPhuong'!$B$2)+1/ISNUMBER(SEARCH(SUBSTITUTE(UPPER($R26)," ",""),'DM_XaPhuong'!$C$2:$C$169)),1)),"Không tìm thấy"))</f>
        <v/>
      </c>
      <c r="AB26" s="5">
        <f>IF($T26="","",IFERROR(INDEX('DM_NgheNghiep'!$B$2:$B$11,AGGREGATE(15,6,ROW('DM_NgheNghiep'!$B$2:$B$11)-ROW('DM_NgheNghiep'!$B$2)+1/ISNUMBER(SEARCH(SUBSTITUTE(UPPER($T26)," ",""),'DM_NgheNghiep'!$C$2:$C$11)),1)),"Không tìm thấy"))</f>
        <v/>
      </c>
      <c r="AD26" s="5">
        <f>IF($U26="","",IFERROR(INDEX('DM_NoiCongTac'!$B$2:$B$11,AGGREGATE(15,6,ROW('DM_NoiCongTac'!$B$2:$B$11)-ROW('DM_NoiCongTac'!$B$2)+1/ISNUMBER(SEARCH(SUBSTITUTE(UPPER($U26)," ",""),'DM_NoiCongTac'!$C$2:$C$11)),1)),"Không tìm thấy"))</f>
        <v/>
      </c>
      <c r="AF26" s="5">
        <f>IF($V26="","",IFERROR(INDEX('DM_XaPhuong'!$B$2:$B$169,AGGREGATE(15,6,ROW('DM_XaPhuong'!$B$2:$B$169)-ROW('DM_XaPhuong'!$B$2)+1/ISNUMBER(SEARCH(SUBSTITUTE(UPPER($V26)," ",""),'DM_XaPhuong'!$C$2:$C$169)),1)),"Không tìm thấy"))</f>
        <v/>
      </c>
    </row>
    <row r="27">
      <c r="C27" s="5">
        <f>IF($B27="","",IFERROR(INDEX('DM_DoiTuong'!$B$2:$B$19,AGGREGATE(15,6,ROW('DM_DoiTuong'!$B$2:$B$19)-ROW('DM_DoiTuong'!$B$2)+1/ISNUMBER(SEARCH(SUBSTITUTE(UPPER($B27)," ",""),'DM_DoiTuong'!$C$2:$C$19)),1)),"Không tìm thấy"))</f>
        <v/>
      </c>
      <c r="E27" s="5">
        <f>IF($C27="","",IFERROR(INDEX('DM_DiaDiemKham'!$B$2:$B$6,AGGREGATE(15,6,ROW('DM_DiaDiemKham'!$B$2:$B$6)-ROW('DM_DiaDiemKham'!$B$2)+1/ISNUMBER(SEARCH(SUBSTITUTE(UPPER($C27)," ",""),'DM_DiaDiemKham'!$C$2:$C$6)),1)),"Không tìm thấy"))</f>
        <v/>
      </c>
      <c r="G27" s="5">
        <f>IF($D27="","",IFERROR(INDEX('DM_HinhThucChiTra'!$B$2:$B$5,AGGREGATE(15,6,ROW('DM_HinhThucChiTra'!$B$2:$B$5)-ROW('DM_HinhThucChiTra'!$B$2)+1/ISNUMBER(SEARCH(SUBSTITUTE(UPPER($D27)," ",""),'DM_HinhThucChiTra'!$C$2:$C$5)),1)),"Không tìm thấy"))</f>
        <v/>
      </c>
      <c r="I27" s="5">
        <f>IF($E27="","",IFERROR(INDEX('DM_HinhThucKham'!$B$2:$B$3,AGGREGATE(15,6,ROW('DM_HinhThucKham'!$B$2:$B$3)-ROW('DM_HinhThucKham'!$B$2)+1/ISNUMBER(SEARCH(SUBSTITUTE(UPPER($E27)," ",""),'DM_HinhThucKham'!$C$2:$C$3)),1)),"Không tìm thấy"))</f>
        <v/>
      </c>
      <c r="P27" s="5">
        <f>IF($K27="","",IFERROR(INDEX('DM_DanToc'!$B$2:$B$78,AGGREGATE(15,6,ROW('DM_DanToc'!$B$2:$B$78)-ROW('DM_DanToc'!$B$2)+1/ISNUMBER(SEARCH(SUBSTITUTE(UPPER($K27)," ",""),'DM_DanToc'!$C$2:$C$78)),1)),"Không tìm thấy"))</f>
        <v/>
      </c>
      <c r="W27" s="5">
        <f>IF($Q27="","",IFERROR(INDEX('DM_TinhThanh'!$B$2:$B$35,AGGREGATE(15,6,ROW('DM_TinhThanh'!$B$2:$B$35)-ROW('DM_TinhThanh'!$B$2)+1/ISNUMBER(SEARCH(SUBSTITUTE(UPPER($Q27)," ",""),'DM_TinhThanh'!$C$2:$C$35)),1)),"Không tìm thấy"))</f>
        <v/>
      </c>
      <c r="Y27" s="5">
        <f>IF($R27="","",IFERROR(INDEX('DM_XaPhuong'!$B$2:$B$169,AGGREGATE(15,6,ROW('DM_XaPhuong'!$B$2:$B$169)-ROW('DM_XaPhuong'!$B$2)+1/ISNUMBER(SEARCH(SUBSTITUTE(UPPER($R27)," ",""),'DM_XaPhuong'!$C$2:$C$169)),1)),"Không tìm thấy"))</f>
        <v/>
      </c>
      <c r="AB27" s="5">
        <f>IF($T27="","",IFERROR(INDEX('DM_NgheNghiep'!$B$2:$B$11,AGGREGATE(15,6,ROW('DM_NgheNghiep'!$B$2:$B$11)-ROW('DM_NgheNghiep'!$B$2)+1/ISNUMBER(SEARCH(SUBSTITUTE(UPPER($T27)," ",""),'DM_NgheNghiep'!$C$2:$C$11)),1)),"Không tìm thấy"))</f>
        <v/>
      </c>
      <c r="AD27" s="5">
        <f>IF($U27="","",IFERROR(INDEX('DM_NoiCongTac'!$B$2:$B$11,AGGREGATE(15,6,ROW('DM_NoiCongTac'!$B$2:$B$11)-ROW('DM_NoiCongTac'!$B$2)+1/ISNUMBER(SEARCH(SUBSTITUTE(UPPER($U27)," ",""),'DM_NoiCongTac'!$C$2:$C$11)),1)),"Không tìm thấy"))</f>
        <v/>
      </c>
      <c r="AF27" s="5">
        <f>IF($V27="","",IFERROR(INDEX('DM_XaPhuong'!$B$2:$B$169,AGGREGATE(15,6,ROW('DM_XaPhuong'!$B$2:$B$169)-ROW('DM_XaPhuong'!$B$2)+1/ISNUMBER(SEARCH(SUBSTITUTE(UPPER($V27)," ",""),'DM_XaPhuong'!$C$2:$C$169)),1)),"Không tìm thấy"))</f>
        <v/>
      </c>
    </row>
    <row r="28">
      <c r="C28" s="5">
        <f>IF($B28="","",IFERROR(INDEX('DM_DoiTuong'!$B$2:$B$19,AGGREGATE(15,6,ROW('DM_DoiTuong'!$B$2:$B$19)-ROW('DM_DoiTuong'!$B$2)+1/ISNUMBER(SEARCH(SUBSTITUTE(UPPER($B28)," ",""),'DM_DoiTuong'!$C$2:$C$19)),1)),"Không tìm thấy"))</f>
        <v/>
      </c>
      <c r="E28" s="5">
        <f>IF($C28="","",IFERROR(INDEX('DM_DiaDiemKham'!$B$2:$B$6,AGGREGATE(15,6,ROW('DM_DiaDiemKham'!$B$2:$B$6)-ROW('DM_DiaDiemKham'!$B$2)+1/ISNUMBER(SEARCH(SUBSTITUTE(UPPER($C28)," ",""),'DM_DiaDiemKham'!$C$2:$C$6)),1)),"Không tìm thấy"))</f>
        <v/>
      </c>
      <c r="G28" s="5">
        <f>IF($D28="","",IFERROR(INDEX('DM_HinhThucChiTra'!$B$2:$B$5,AGGREGATE(15,6,ROW('DM_HinhThucChiTra'!$B$2:$B$5)-ROW('DM_HinhThucChiTra'!$B$2)+1/ISNUMBER(SEARCH(SUBSTITUTE(UPPER($D28)," ",""),'DM_HinhThucChiTra'!$C$2:$C$5)),1)),"Không tìm thấy"))</f>
        <v/>
      </c>
      <c r="I28" s="5">
        <f>IF($E28="","",IFERROR(INDEX('DM_HinhThucKham'!$B$2:$B$3,AGGREGATE(15,6,ROW('DM_HinhThucKham'!$B$2:$B$3)-ROW('DM_HinhThucKham'!$B$2)+1/ISNUMBER(SEARCH(SUBSTITUTE(UPPER($E28)," ",""),'DM_HinhThucKham'!$C$2:$C$3)),1)),"Không tìm thấy"))</f>
        <v/>
      </c>
      <c r="P28" s="5">
        <f>IF($K28="","",IFERROR(INDEX('DM_DanToc'!$B$2:$B$78,AGGREGATE(15,6,ROW('DM_DanToc'!$B$2:$B$78)-ROW('DM_DanToc'!$B$2)+1/ISNUMBER(SEARCH(SUBSTITUTE(UPPER($K28)," ",""),'DM_DanToc'!$C$2:$C$78)),1)),"Không tìm thấy"))</f>
        <v/>
      </c>
      <c r="W28" s="5">
        <f>IF($Q28="","",IFERROR(INDEX('DM_TinhThanh'!$B$2:$B$35,AGGREGATE(15,6,ROW('DM_TinhThanh'!$B$2:$B$35)-ROW('DM_TinhThanh'!$B$2)+1/ISNUMBER(SEARCH(SUBSTITUTE(UPPER($Q28)," ",""),'DM_TinhThanh'!$C$2:$C$35)),1)),"Không tìm thấy"))</f>
        <v/>
      </c>
      <c r="Y28" s="5">
        <f>IF($R28="","",IFERROR(INDEX('DM_XaPhuong'!$B$2:$B$169,AGGREGATE(15,6,ROW('DM_XaPhuong'!$B$2:$B$169)-ROW('DM_XaPhuong'!$B$2)+1/ISNUMBER(SEARCH(SUBSTITUTE(UPPER($R28)," ",""),'DM_XaPhuong'!$C$2:$C$169)),1)),"Không tìm thấy"))</f>
        <v/>
      </c>
      <c r="AB28" s="5">
        <f>IF($T28="","",IFERROR(INDEX('DM_NgheNghiep'!$B$2:$B$11,AGGREGATE(15,6,ROW('DM_NgheNghiep'!$B$2:$B$11)-ROW('DM_NgheNghiep'!$B$2)+1/ISNUMBER(SEARCH(SUBSTITUTE(UPPER($T28)," ",""),'DM_NgheNghiep'!$C$2:$C$11)),1)),"Không tìm thấy"))</f>
        <v/>
      </c>
      <c r="AD28" s="5">
        <f>IF($U28="","",IFERROR(INDEX('DM_NoiCongTac'!$B$2:$B$11,AGGREGATE(15,6,ROW('DM_NoiCongTac'!$B$2:$B$11)-ROW('DM_NoiCongTac'!$B$2)+1/ISNUMBER(SEARCH(SUBSTITUTE(UPPER($U28)," ",""),'DM_NoiCongTac'!$C$2:$C$11)),1)),"Không tìm thấy"))</f>
        <v/>
      </c>
      <c r="AF28" s="5">
        <f>IF($V28="","",IFERROR(INDEX('DM_XaPhuong'!$B$2:$B$169,AGGREGATE(15,6,ROW('DM_XaPhuong'!$B$2:$B$169)-ROW('DM_XaPhuong'!$B$2)+1/ISNUMBER(SEARCH(SUBSTITUTE(UPPER($V28)," ",""),'DM_XaPhuong'!$C$2:$C$169)),1)),"Không tìm thấy"))</f>
        <v/>
      </c>
    </row>
    <row r="29">
      <c r="C29" s="5">
        <f>IF($B29="","",IFERROR(INDEX('DM_DoiTuong'!$B$2:$B$19,AGGREGATE(15,6,ROW('DM_DoiTuong'!$B$2:$B$19)-ROW('DM_DoiTuong'!$B$2)+1/ISNUMBER(SEARCH(SUBSTITUTE(UPPER($B29)," ",""),'DM_DoiTuong'!$C$2:$C$19)),1)),"Không tìm thấy"))</f>
        <v/>
      </c>
      <c r="E29" s="5">
        <f>IF($C29="","",IFERROR(INDEX('DM_DiaDiemKham'!$B$2:$B$6,AGGREGATE(15,6,ROW('DM_DiaDiemKham'!$B$2:$B$6)-ROW('DM_DiaDiemKham'!$B$2)+1/ISNUMBER(SEARCH(SUBSTITUTE(UPPER($C29)," ",""),'DM_DiaDiemKham'!$C$2:$C$6)),1)),"Không tìm thấy"))</f>
        <v/>
      </c>
      <c r="G29" s="5">
        <f>IF($D29="","",IFERROR(INDEX('DM_HinhThucChiTra'!$B$2:$B$5,AGGREGATE(15,6,ROW('DM_HinhThucChiTra'!$B$2:$B$5)-ROW('DM_HinhThucChiTra'!$B$2)+1/ISNUMBER(SEARCH(SUBSTITUTE(UPPER($D29)," ",""),'DM_HinhThucChiTra'!$C$2:$C$5)),1)),"Không tìm thấy"))</f>
        <v/>
      </c>
      <c r="I29" s="5">
        <f>IF($E29="","",IFERROR(INDEX('DM_HinhThucKham'!$B$2:$B$3,AGGREGATE(15,6,ROW('DM_HinhThucKham'!$B$2:$B$3)-ROW('DM_HinhThucKham'!$B$2)+1/ISNUMBER(SEARCH(SUBSTITUTE(UPPER($E29)," ",""),'DM_HinhThucKham'!$C$2:$C$3)),1)),"Không tìm thấy"))</f>
        <v/>
      </c>
      <c r="P29" s="5">
        <f>IF($K29="","",IFERROR(INDEX('DM_DanToc'!$B$2:$B$78,AGGREGATE(15,6,ROW('DM_DanToc'!$B$2:$B$78)-ROW('DM_DanToc'!$B$2)+1/ISNUMBER(SEARCH(SUBSTITUTE(UPPER($K29)," ",""),'DM_DanToc'!$C$2:$C$78)),1)),"Không tìm thấy"))</f>
        <v/>
      </c>
      <c r="W29" s="5">
        <f>IF($Q29="","",IFERROR(INDEX('DM_TinhThanh'!$B$2:$B$35,AGGREGATE(15,6,ROW('DM_TinhThanh'!$B$2:$B$35)-ROW('DM_TinhThanh'!$B$2)+1/ISNUMBER(SEARCH(SUBSTITUTE(UPPER($Q29)," ",""),'DM_TinhThanh'!$C$2:$C$35)),1)),"Không tìm thấy"))</f>
        <v/>
      </c>
      <c r="Y29" s="5">
        <f>IF($R29="","",IFERROR(INDEX('DM_XaPhuong'!$B$2:$B$169,AGGREGATE(15,6,ROW('DM_XaPhuong'!$B$2:$B$169)-ROW('DM_XaPhuong'!$B$2)+1/ISNUMBER(SEARCH(SUBSTITUTE(UPPER($R29)," ",""),'DM_XaPhuong'!$C$2:$C$169)),1)),"Không tìm thấy"))</f>
        <v/>
      </c>
      <c r="AB29" s="5">
        <f>IF($T29="","",IFERROR(INDEX('DM_NgheNghiep'!$B$2:$B$11,AGGREGATE(15,6,ROW('DM_NgheNghiep'!$B$2:$B$11)-ROW('DM_NgheNghiep'!$B$2)+1/ISNUMBER(SEARCH(SUBSTITUTE(UPPER($T29)," ",""),'DM_NgheNghiep'!$C$2:$C$11)),1)),"Không tìm thấy"))</f>
        <v/>
      </c>
      <c r="AD29" s="5">
        <f>IF($U29="","",IFERROR(INDEX('DM_NoiCongTac'!$B$2:$B$11,AGGREGATE(15,6,ROW('DM_NoiCongTac'!$B$2:$B$11)-ROW('DM_NoiCongTac'!$B$2)+1/ISNUMBER(SEARCH(SUBSTITUTE(UPPER($U29)," ",""),'DM_NoiCongTac'!$C$2:$C$11)),1)),"Không tìm thấy"))</f>
        <v/>
      </c>
      <c r="AF29" s="5">
        <f>IF($V29="","",IFERROR(INDEX('DM_XaPhuong'!$B$2:$B$169,AGGREGATE(15,6,ROW('DM_XaPhuong'!$B$2:$B$169)-ROW('DM_XaPhuong'!$B$2)+1/ISNUMBER(SEARCH(SUBSTITUTE(UPPER($V29)," ",""),'DM_XaPhuong'!$C$2:$C$169)),1)),"Không tìm thấy"))</f>
        <v/>
      </c>
    </row>
    <row r="30">
      <c r="C30" s="5">
        <f>IF($B30="","",IFERROR(INDEX('DM_DoiTuong'!$B$2:$B$19,AGGREGATE(15,6,ROW('DM_DoiTuong'!$B$2:$B$19)-ROW('DM_DoiTuong'!$B$2)+1/ISNUMBER(SEARCH(SUBSTITUTE(UPPER($B30)," ",""),'DM_DoiTuong'!$C$2:$C$19)),1)),"Không tìm thấy"))</f>
        <v/>
      </c>
      <c r="E30" s="5">
        <f>IF($C30="","",IFERROR(INDEX('DM_DiaDiemKham'!$B$2:$B$6,AGGREGATE(15,6,ROW('DM_DiaDiemKham'!$B$2:$B$6)-ROW('DM_DiaDiemKham'!$B$2)+1/ISNUMBER(SEARCH(SUBSTITUTE(UPPER($C30)," ",""),'DM_DiaDiemKham'!$C$2:$C$6)),1)),"Không tìm thấy"))</f>
        <v/>
      </c>
      <c r="G30" s="5">
        <f>IF($D30="","",IFERROR(INDEX('DM_HinhThucChiTra'!$B$2:$B$5,AGGREGATE(15,6,ROW('DM_HinhThucChiTra'!$B$2:$B$5)-ROW('DM_HinhThucChiTra'!$B$2)+1/ISNUMBER(SEARCH(SUBSTITUTE(UPPER($D30)," ",""),'DM_HinhThucChiTra'!$C$2:$C$5)),1)),"Không tìm thấy"))</f>
        <v/>
      </c>
      <c r="I30" s="5">
        <f>IF($E30="","",IFERROR(INDEX('DM_HinhThucKham'!$B$2:$B$3,AGGREGATE(15,6,ROW('DM_HinhThucKham'!$B$2:$B$3)-ROW('DM_HinhThucKham'!$B$2)+1/ISNUMBER(SEARCH(SUBSTITUTE(UPPER($E30)," ",""),'DM_HinhThucKham'!$C$2:$C$3)),1)),"Không tìm thấy"))</f>
        <v/>
      </c>
      <c r="P30" s="5">
        <f>IF($K30="","",IFERROR(INDEX('DM_DanToc'!$B$2:$B$78,AGGREGATE(15,6,ROW('DM_DanToc'!$B$2:$B$78)-ROW('DM_DanToc'!$B$2)+1/ISNUMBER(SEARCH(SUBSTITUTE(UPPER($K30)," ",""),'DM_DanToc'!$C$2:$C$78)),1)),"Không tìm thấy"))</f>
        <v/>
      </c>
      <c r="W30" s="5">
        <f>IF($Q30="","",IFERROR(INDEX('DM_TinhThanh'!$B$2:$B$35,AGGREGATE(15,6,ROW('DM_TinhThanh'!$B$2:$B$35)-ROW('DM_TinhThanh'!$B$2)+1/ISNUMBER(SEARCH(SUBSTITUTE(UPPER($Q30)," ",""),'DM_TinhThanh'!$C$2:$C$35)),1)),"Không tìm thấy"))</f>
        <v/>
      </c>
      <c r="Y30" s="5">
        <f>IF($R30="","",IFERROR(INDEX('DM_XaPhuong'!$B$2:$B$169,AGGREGATE(15,6,ROW('DM_XaPhuong'!$B$2:$B$169)-ROW('DM_XaPhuong'!$B$2)+1/ISNUMBER(SEARCH(SUBSTITUTE(UPPER($R30)," ",""),'DM_XaPhuong'!$C$2:$C$169)),1)),"Không tìm thấy"))</f>
        <v/>
      </c>
      <c r="AB30" s="5">
        <f>IF($T30="","",IFERROR(INDEX('DM_NgheNghiep'!$B$2:$B$11,AGGREGATE(15,6,ROW('DM_NgheNghiep'!$B$2:$B$11)-ROW('DM_NgheNghiep'!$B$2)+1/ISNUMBER(SEARCH(SUBSTITUTE(UPPER($T30)," ",""),'DM_NgheNghiep'!$C$2:$C$11)),1)),"Không tìm thấy"))</f>
        <v/>
      </c>
      <c r="AD30" s="5">
        <f>IF($U30="","",IFERROR(INDEX('DM_NoiCongTac'!$B$2:$B$11,AGGREGATE(15,6,ROW('DM_NoiCongTac'!$B$2:$B$11)-ROW('DM_NoiCongTac'!$B$2)+1/ISNUMBER(SEARCH(SUBSTITUTE(UPPER($U30)," ",""),'DM_NoiCongTac'!$C$2:$C$11)),1)),"Không tìm thấy"))</f>
        <v/>
      </c>
      <c r="AF30" s="5">
        <f>IF($V30="","",IFERROR(INDEX('DM_XaPhuong'!$B$2:$B$169,AGGREGATE(15,6,ROW('DM_XaPhuong'!$B$2:$B$169)-ROW('DM_XaPhuong'!$B$2)+1/ISNUMBER(SEARCH(SUBSTITUTE(UPPER($V30)," ",""),'DM_XaPhuong'!$C$2:$C$169)),1)),"Không tìm thấy"))</f>
        <v/>
      </c>
    </row>
    <row r="31">
      <c r="C31" s="5">
        <f>IF($B31="","",IFERROR(INDEX('DM_DoiTuong'!$B$2:$B$19,AGGREGATE(15,6,ROW('DM_DoiTuong'!$B$2:$B$19)-ROW('DM_DoiTuong'!$B$2)+1/ISNUMBER(SEARCH(SUBSTITUTE(UPPER($B31)," ",""),'DM_DoiTuong'!$C$2:$C$19)),1)),"Không tìm thấy"))</f>
        <v/>
      </c>
      <c r="E31" s="5">
        <f>IF($C31="","",IFERROR(INDEX('DM_DiaDiemKham'!$B$2:$B$6,AGGREGATE(15,6,ROW('DM_DiaDiemKham'!$B$2:$B$6)-ROW('DM_DiaDiemKham'!$B$2)+1/ISNUMBER(SEARCH(SUBSTITUTE(UPPER($C31)," ",""),'DM_DiaDiemKham'!$C$2:$C$6)),1)),"Không tìm thấy"))</f>
        <v/>
      </c>
      <c r="G31" s="5">
        <f>IF($D31="","",IFERROR(INDEX('DM_HinhThucChiTra'!$B$2:$B$5,AGGREGATE(15,6,ROW('DM_HinhThucChiTra'!$B$2:$B$5)-ROW('DM_HinhThucChiTra'!$B$2)+1/ISNUMBER(SEARCH(SUBSTITUTE(UPPER($D31)," ",""),'DM_HinhThucChiTra'!$C$2:$C$5)),1)),"Không tìm thấy"))</f>
        <v/>
      </c>
      <c r="I31" s="5">
        <f>IF($E31="","",IFERROR(INDEX('DM_HinhThucKham'!$B$2:$B$3,AGGREGATE(15,6,ROW('DM_HinhThucKham'!$B$2:$B$3)-ROW('DM_HinhThucKham'!$B$2)+1/ISNUMBER(SEARCH(SUBSTITUTE(UPPER($E31)," ",""),'DM_HinhThucKham'!$C$2:$C$3)),1)),"Không tìm thấy"))</f>
        <v/>
      </c>
      <c r="P31" s="5">
        <f>IF($K31="","",IFERROR(INDEX('DM_DanToc'!$B$2:$B$78,AGGREGATE(15,6,ROW('DM_DanToc'!$B$2:$B$78)-ROW('DM_DanToc'!$B$2)+1/ISNUMBER(SEARCH(SUBSTITUTE(UPPER($K31)," ",""),'DM_DanToc'!$C$2:$C$78)),1)),"Không tìm thấy"))</f>
        <v/>
      </c>
      <c r="W31" s="5">
        <f>IF($Q31="","",IFERROR(INDEX('DM_TinhThanh'!$B$2:$B$35,AGGREGATE(15,6,ROW('DM_TinhThanh'!$B$2:$B$35)-ROW('DM_TinhThanh'!$B$2)+1/ISNUMBER(SEARCH(SUBSTITUTE(UPPER($Q31)," ",""),'DM_TinhThanh'!$C$2:$C$35)),1)),"Không tìm thấy"))</f>
        <v/>
      </c>
      <c r="Y31" s="5">
        <f>IF($R31="","",IFERROR(INDEX('DM_XaPhuong'!$B$2:$B$169,AGGREGATE(15,6,ROW('DM_XaPhuong'!$B$2:$B$169)-ROW('DM_XaPhuong'!$B$2)+1/ISNUMBER(SEARCH(SUBSTITUTE(UPPER($R31)," ",""),'DM_XaPhuong'!$C$2:$C$169)),1)),"Không tìm thấy"))</f>
        <v/>
      </c>
      <c r="AB31" s="5">
        <f>IF($T31="","",IFERROR(INDEX('DM_NgheNghiep'!$B$2:$B$11,AGGREGATE(15,6,ROW('DM_NgheNghiep'!$B$2:$B$11)-ROW('DM_NgheNghiep'!$B$2)+1/ISNUMBER(SEARCH(SUBSTITUTE(UPPER($T31)," ",""),'DM_NgheNghiep'!$C$2:$C$11)),1)),"Không tìm thấy"))</f>
        <v/>
      </c>
      <c r="AD31" s="5">
        <f>IF($U31="","",IFERROR(INDEX('DM_NoiCongTac'!$B$2:$B$11,AGGREGATE(15,6,ROW('DM_NoiCongTac'!$B$2:$B$11)-ROW('DM_NoiCongTac'!$B$2)+1/ISNUMBER(SEARCH(SUBSTITUTE(UPPER($U31)," ",""),'DM_NoiCongTac'!$C$2:$C$11)),1)),"Không tìm thấy"))</f>
        <v/>
      </c>
      <c r="AF31" s="5">
        <f>IF($V31="","",IFERROR(INDEX('DM_XaPhuong'!$B$2:$B$169,AGGREGATE(15,6,ROW('DM_XaPhuong'!$B$2:$B$169)-ROW('DM_XaPhuong'!$B$2)+1/ISNUMBER(SEARCH(SUBSTITUTE(UPPER($V31)," ",""),'DM_XaPhuong'!$C$2:$C$169)),1)),"Không tìm thấy"))</f>
        <v/>
      </c>
    </row>
    <row r="32">
      <c r="C32" s="5">
        <f>IF($B32="","",IFERROR(INDEX('DM_DoiTuong'!$B$2:$B$19,AGGREGATE(15,6,ROW('DM_DoiTuong'!$B$2:$B$19)-ROW('DM_DoiTuong'!$B$2)+1/ISNUMBER(SEARCH(SUBSTITUTE(UPPER($B32)," ",""),'DM_DoiTuong'!$C$2:$C$19)),1)),"Không tìm thấy"))</f>
        <v/>
      </c>
      <c r="E32" s="5">
        <f>IF($C32="","",IFERROR(INDEX('DM_DiaDiemKham'!$B$2:$B$6,AGGREGATE(15,6,ROW('DM_DiaDiemKham'!$B$2:$B$6)-ROW('DM_DiaDiemKham'!$B$2)+1/ISNUMBER(SEARCH(SUBSTITUTE(UPPER($C32)," ",""),'DM_DiaDiemKham'!$C$2:$C$6)),1)),"Không tìm thấy"))</f>
        <v/>
      </c>
      <c r="G32" s="5">
        <f>IF($D32="","",IFERROR(INDEX('DM_HinhThucChiTra'!$B$2:$B$5,AGGREGATE(15,6,ROW('DM_HinhThucChiTra'!$B$2:$B$5)-ROW('DM_HinhThucChiTra'!$B$2)+1/ISNUMBER(SEARCH(SUBSTITUTE(UPPER($D32)," ",""),'DM_HinhThucChiTra'!$C$2:$C$5)),1)),"Không tìm thấy"))</f>
        <v/>
      </c>
      <c r="I32" s="5">
        <f>IF($E32="","",IFERROR(INDEX('DM_HinhThucKham'!$B$2:$B$3,AGGREGATE(15,6,ROW('DM_HinhThucKham'!$B$2:$B$3)-ROW('DM_HinhThucKham'!$B$2)+1/ISNUMBER(SEARCH(SUBSTITUTE(UPPER($E32)," ",""),'DM_HinhThucKham'!$C$2:$C$3)),1)),"Không tìm thấy"))</f>
        <v/>
      </c>
      <c r="P32" s="5">
        <f>IF($K32="","",IFERROR(INDEX('DM_DanToc'!$B$2:$B$78,AGGREGATE(15,6,ROW('DM_DanToc'!$B$2:$B$78)-ROW('DM_DanToc'!$B$2)+1/ISNUMBER(SEARCH(SUBSTITUTE(UPPER($K32)," ",""),'DM_DanToc'!$C$2:$C$78)),1)),"Không tìm thấy"))</f>
        <v/>
      </c>
      <c r="W32" s="5">
        <f>IF($Q32="","",IFERROR(INDEX('DM_TinhThanh'!$B$2:$B$35,AGGREGATE(15,6,ROW('DM_TinhThanh'!$B$2:$B$35)-ROW('DM_TinhThanh'!$B$2)+1/ISNUMBER(SEARCH(SUBSTITUTE(UPPER($Q32)," ",""),'DM_TinhThanh'!$C$2:$C$35)),1)),"Không tìm thấy"))</f>
        <v/>
      </c>
      <c r="Y32" s="5">
        <f>IF($R32="","",IFERROR(INDEX('DM_XaPhuong'!$B$2:$B$169,AGGREGATE(15,6,ROW('DM_XaPhuong'!$B$2:$B$169)-ROW('DM_XaPhuong'!$B$2)+1/ISNUMBER(SEARCH(SUBSTITUTE(UPPER($R32)," ",""),'DM_XaPhuong'!$C$2:$C$169)),1)),"Không tìm thấy"))</f>
        <v/>
      </c>
      <c r="AB32" s="5">
        <f>IF($T32="","",IFERROR(INDEX('DM_NgheNghiep'!$B$2:$B$11,AGGREGATE(15,6,ROW('DM_NgheNghiep'!$B$2:$B$11)-ROW('DM_NgheNghiep'!$B$2)+1/ISNUMBER(SEARCH(SUBSTITUTE(UPPER($T32)," ",""),'DM_NgheNghiep'!$C$2:$C$11)),1)),"Không tìm thấy"))</f>
        <v/>
      </c>
      <c r="AD32" s="5">
        <f>IF($U32="","",IFERROR(INDEX('DM_NoiCongTac'!$B$2:$B$11,AGGREGATE(15,6,ROW('DM_NoiCongTac'!$B$2:$B$11)-ROW('DM_NoiCongTac'!$B$2)+1/ISNUMBER(SEARCH(SUBSTITUTE(UPPER($U32)," ",""),'DM_NoiCongTac'!$C$2:$C$11)),1)),"Không tìm thấy"))</f>
        <v/>
      </c>
      <c r="AF32" s="5">
        <f>IF($V32="","",IFERROR(INDEX('DM_XaPhuong'!$B$2:$B$169,AGGREGATE(15,6,ROW('DM_XaPhuong'!$B$2:$B$169)-ROW('DM_XaPhuong'!$B$2)+1/ISNUMBER(SEARCH(SUBSTITUTE(UPPER($V32)," ",""),'DM_XaPhuong'!$C$2:$C$169)),1)),"Không tìm thấy"))</f>
        <v/>
      </c>
    </row>
    <row r="33">
      <c r="C33" s="5">
        <f>IF($B33="","",IFERROR(INDEX('DM_DoiTuong'!$B$2:$B$19,AGGREGATE(15,6,ROW('DM_DoiTuong'!$B$2:$B$19)-ROW('DM_DoiTuong'!$B$2)+1/ISNUMBER(SEARCH(SUBSTITUTE(UPPER($B33)," ",""),'DM_DoiTuong'!$C$2:$C$19)),1)),"Không tìm thấy"))</f>
        <v/>
      </c>
      <c r="E33" s="5">
        <f>IF($C33="","",IFERROR(INDEX('DM_DiaDiemKham'!$B$2:$B$6,AGGREGATE(15,6,ROW('DM_DiaDiemKham'!$B$2:$B$6)-ROW('DM_DiaDiemKham'!$B$2)+1/ISNUMBER(SEARCH(SUBSTITUTE(UPPER($C33)," ",""),'DM_DiaDiemKham'!$C$2:$C$6)),1)),"Không tìm thấy"))</f>
        <v/>
      </c>
      <c r="G33" s="5">
        <f>IF($D33="","",IFERROR(INDEX('DM_HinhThucChiTra'!$B$2:$B$5,AGGREGATE(15,6,ROW('DM_HinhThucChiTra'!$B$2:$B$5)-ROW('DM_HinhThucChiTra'!$B$2)+1/ISNUMBER(SEARCH(SUBSTITUTE(UPPER($D33)," ",""),'DM_HinhThucChiTra'!$C$2:$C$5)),1)),"Không tìm thấy"))</f>
        <v/>
      </c>
      <c r="I33" s="5">
        <f>IF($E33="","",IFERROR(INDEX('DM_HinhThucKham'!$B$2:$B$3,AGGREGATE(15,6,ROW('DM_HinhThucKham'!$B$2:$B$3)-ROW('DM_HinhThucKham'!$B$2)+1/ISNUMBER(SEARCH(SUBSTITUTE(UPPER($E33)," ",""),'DM_HinhThucKham'!$C$2:$C$3)),1)),"Không tìm thấy"))</f>
        <v/>
      </c>
      <c r="P33" s="5">
        <f>IF($K33="","",IFERROR(INDEX('DM_DanToc'!$B$2:$B$78,AGGREGATE(15,6,ROW('DM_DanToc'!$B$2:$B$78)-ROW('DM_DanToc'!$B$2)+1/ISNUMBER(SEARCH(SUBSTITUTE(UPPER($K33)," ",""),'DM_DanToc'!$C$2:$C$78)),1)),"Không tìm thấy"))</f>
        <v/>
      </c>
      <c r="W33" s="5">
        <f>IF($Q33="","",IFERROR(INDEX('DM_TinhThanh'!$B$2:$B$35,AGGREGATE(15,6,ROW('DM_TinhThanh'!$B$2:$B$35)-ROW('DM_TinhThanh'!$B$2)+1/ISNUMBER(SEARCH(SUBSTITUTE(UPPER($Q33)," ",""),'DM_TinhThanh'!$C$2:$C$35)),1)),"Không tìm thấy"))</f>
        <v/>
      </c>
      <c r="Y33" s="5">
        <f>IF($R33="","",IFERROR(INDEX('DM_XaPhuong'!$B$2:$B$169,AGGREGATE(15,6,ROW('DM_XaPhuong'!$B$2:$B$169)-ROW('DM_XaPhuong'!$B$2)+1/ISNUMBER(SEARCH(SUBSTITUTE(UPPER($R33)," ",""),'DM_XaPhuong'!$C$2:$C$169)),1)),"Không tìm thấy"))</f>
        <v/>
      </c>
      <c r="AB33" s="5">
        <f>IF($T33="","",IFERROR(INDEX('DM_NgheNghiep'!$B$2:$B$11,AGGREGATE(15,6,ROW('DM_NgheNghiep'!$B$2:$B$11)-ROW('DM_NgheNghiep'!$B$2)+1/ISNUMBER(SEARCH(SUBSTITUTE(UPPER($T33)," ",""),'DM_NgheNghiep'!$C$2:$C$11)),1)),"Không tìm thấy"))</f>
        <v/>
      </c>
      <c r="AD33" s="5">
        <f>IF($U33="","",IFERROR(INDEX('DM_NoiCongTac'!$B$2:$B$11,AGGREGATE(15,6,ROW('DM_NoiCongTac'!$B$2:$B$11)-ROW('DM_NoiCongTac'!$B$2)+1/ISNUMBER(SEARCH(SUBSTITUTE(UPPER($U33)," ",""),'DM_NoiCongTac'!$C$2:$C$11)),1)),"Không tìm thấy"))</f>
        <v/>
      </c>
      <c r="AF33" s="5">
        <f>IF($V33="","",IFERROR(INDEX('DM_XaPhuong'!$B$2:$B$169,AGGREGATE(15,6,ROW('DM_XaPhuong'!$B$2:$B$169)-ROW('DM_XaPhuong'!$B$2)+1/ISNUMBER(SEARCH(SUBSTITUTE(UPPER($V33)," ",""),'DM_XaPhuong'!$C$2:$C$169)),1)),"Không tìm thấy"))</f>
        <v/>
      </c>
    </row>
    <row r="34">
      <c r="C34" s="5">
        <f>IF($B34="","",IFERROR(INDEX('DM_DoiTuong'!$B$2:$B$19,AGGREGATE(15,6,ROW('DM_DoiTuong'!$B$2:$B$19)-ROW('DM_DoiTuong'!$B$2)+1/ISNUMBER(SEARCH(SUBSTITUTE(UPPER($B34)," ",""),'DM_DoiTuong'!$C$2:$C$19)),1)),"Không tìm thấy"))</f>
        <v/>
      </c>
      <c r="E34" s="5">
        <f>IF($C34="","",IFERROR(INDEX('DM_DiaDiemKham'!$B$2:$B$6,AGGREGATE(15,6,ROW('DM_DiaDiemKham'!$B$2:$B$6)-ROW('DM_DiaDiemKham'!$B$2)+1/ISNUMBER(SEARCH(SUBSTITUTE(UPPER($C34)," ",""),'DM_DiaDiemKham'!$C$2:$C$6)),1)),"Không tìm thấy"))</f>
        <v/>
      </c>
      <c r="G34" s="5">
        <f>IF($D34="","",IFERROR(INDEX('DM_HinhThucChiTra'!$B$2:$B$5,AGGREGATE(15,6,ROW('DM_HinhThucChiTra'!$B$2:$B$5)-ROW('DM_HinhThucChiTra'!$B$2)+1/ISNUMBER(SEARCH(SUBSTITUTE(UPPER($D34)," ",""),'DM_HinhThucChiTra'!$C$2:$C$5)),1)),"Không tìm thấy"))</f>
        <v/>
      </c>
      <c r="I34" s="5">
        <f>IF($E34="","",IFERROR(INDEX('DM_HinhThucKham'!$B$2:$B$3,AGGREGATE(15,6,ROW('DM_HinhThucKham'!$B$2:$B$3)-ROW('DM_HinhThucKham'!$B$2)+1/ISNUMBER(SEARCH(SUBSTITUTE(UPPER($E34)," ",""),'DM_HinhThucKham'!$C$2:$C$3)),1)),"Không tìm thấy"))</f>
        <v/>
      </c>
      <c r="P34" s="5">
        <f>IF($K34="","",IFERROR(INDEX('DM_DanToc'!$B$2:$B$78,AGGREGATE(15,6,ROW('DM_DanToc'!$B$2:$B$78)-ROW('DM_DanToc'!$B$2)+1/ISNUMBER(SEARCH(SUBSTITUTE(UPPER($K34)," ",""),'DM_DanToc'!$C$2:$C$78)),1)),"Không tìm thấy"))</f>
        <v/>
      </c>
      <c r="W34" s="5">
        <f>IF($Q34="","",IFERROR(INDEX('DM_TinhThanh'!$B$2:$B$35,AGGREGATE(15,6,ROW('DM_TinhThanh'!$B$2:$B$35)-ROW('DM_TinhThanh'!$B$2)+1/ISNUMBER(SEARCH(SUBSTITUTE(UPPER($Q34)," ",""),'DM_TinhThanh'!$C$2:$C$35)),1)),"Không tìm thấy"))</f>
        <v/>
      </c>
      <c r="Y34" s="5">
        <f>IF($R34="","",IFERROR(INDEX('DM_XaPhuong'!$B$2:$B$169,AGGREGATE(15,6,ROW('DM_XaPhuong'!$B$2:$B$169)-ROW('DM_XaPhuong'!$B$2)+1/ISNUMBER(SEARCH(SUBSTITUTE(UPPER($R34)," ",""),'DM_XaPhuong'!$C$2:$C$169)),1)),"Không tìm thấy"))</f>
        <v/>
      </c>
      <c r="AB34" s="5">
        <f>IF($T34="","",IFERROR(INDEX('DM_NgheNghiep'!$B$2:$B$11,AGGREGATE(15,6,ROW('DM_NgheNghiep'!$B$2:$B$11)-ROW('DM_NgheNghiep'!$B$2)+1/ISNUMBER(SEARCH(SUBSTITUTE(UPPER($T34)," ",""),'DM_NgheNghiep'!$C$2:$C$11)),1)),"Không tìm thấy"))</f>
        <v/>
      </c>
      <c r="AD34" s="5">
        <f>IF($U34="","",IFERROR(INDEX('DM_NoiCongTac'!$B$2:$B$11,AGGREGATE(15,6,ROW('DM_NoiCongTac'!$B$2:$B$11)-ROW('DM_NoiCongTac'!$B$2)+1/ISNUMBER(SEARCH(SUBSTITUTE(UPPER($U34)," ",""),'DM_NoiCongTac'!$C$2:$C$11)),1)),"Không tìm thấy"))</f>
        <v/>
      </c>
      <c r="AF34" s="5">
        <f>IF($V34="","",IFERROR(INDEX('DM_XaPhuong'!$B$2:$B$169,AGGREGATE(15,6,ROW('DM_XaPhuong'!$B$2:$B$169)-ROW('DM_XaPhuong'!$B$2)+1/ISNUMBER(SEARCH(SUBSTITUTE(UPPER($V34)," ",""),'DM_XaPhuong'!$C$2:$C$169)),1)),"Không tìm thấy"))</f>
        <v/>
      </c>
    </row>
    <row r="35">
      <c r="C35" s="5">
        <f>IF($B35="","",IFERROR(INDEX('DM_DoiTuong'!$B$2:$B$19,AGGREGATE(15,6,ROW('DM_DoiTuong'!$B$2:$B$19)-ROW('DM_DoiTuong'!$B$2)+1/ISNUMBER(SEARCH(SUBSTITUTE(UPPER($B35)," ",""),'DM_DoiTuong'!$C$2:$C$19)),1)),"Không tìm thấy"))</f>
        <v/>
      </c>
      <c r="E35" s="5">
        <f>IF($C35="","",IFERROR(INDEX('DM_DiaDiemKham'!$B$2:$B$6,AGGREGATE(15,6,ROW('DM_DiaDiemKham'!$B$2:$B$6)-ROW('DM_DiaDiemKham'!$B$2)+1/ISNUMBER(SEARCH(SUBSTITUTE(UPPER($C35)," ",""),'DM_DiaDiemKham'!$C$2:$C$6)),1)),"Không tìm thấy"))</f>
        <v/>
      </c>
      <c r="G35" s="5">
        <f>IF($D35="","",IFERROR(INDEX('DM_HinhThucChiTra'!$B$2:$B$5,AGGREGATE(15,6,ROW('DM_HinhThucChiTra'!$B$2:$B$5)-ROW('DM_HinhThucChiTra'!$B$2)+1/ISNUMBER(SEARCH(SUBSTITUTE(UPPER($D35)," ",""),'DM_HinhThucChiTra'!$C$2:$C$5)),1)),"Không tìm thấy"))</f>
        <v/>
      </c>
      <c r="I35" s="5">
        <f>IF($E35="","",IFERROR(INDEX('DM_HinhThucKham'!$B$2:$B$3,AGGREGATE(15,6,ROW('DM_HinhThucKham'!$B$2:$B$3)-ROW('DM_HinhThucKham'!$B$2)+1/ISNUMBER(SEARCH(SUBSTITUTE(UPPER($E35)," ",""),'DM_HinhThucKham'!$C$2:$C$3)),1)),"Không tìm thấy"))</f>
        <v/>
      </c>
      <c r="P35" s="5">
        <f>IF($K35="","",IFERROR(INDEX('DM_DanToc'!$B$2:$B$78,AGGREGATE(15,6,ROW('DM_DanToc'!$B$2:$B$78)-ROW('DM_DanToc'!$B$2)+1/ISNUMBER(SEARCH(SUBSTITUTE(UPPER($K35)," ",""),'DM_DanToc'!$C$2:$C$78)),1)),"Không tìm thấy"))</f>
        <v/>
      </c>
      <c r="W35" s="5">
        <f>IF($Q35="","",IFERROR(INDEX('DM_TinhThanh'!$B$2:$B$35,AGGREGATE(15,6,ROW('DM_TinhThanh'!$B$2:$B$35)-ROW('DM_TinhThanh'!$B$2)+1/ISNUMBER(SEARCH(SUBSTITUTE(UPPER($Q35)," ",""),'DM_TinhThanh'!$C$2:$C$35)),1)),"Không tìm thấy"))</f>
        <v/>
      </c>
      <c r="Y35" s="5">
        <f>IF($R35="","",IFERROR(INDEX('DM_XaPhuong'!$B$2:$B$169,AGGREGATE(15,6,ROW('DM_XaPhuong'!$B$2:$B$169)-ROW('DM_XaPhuong'!$B$2)+1/ISNUMBER(SEARCH(SUBSTITUTE(UPPER($R35)," ",""),'DM_XaPhuong'!$C$2:$C$169)),1)),"Không tìm thấy"))</f>
        <v/>
      </c>
      <c r="AB35" s="5">
        <f>IF($T35="","",IFERROR(INDEX('DM_NgheNghiep'!$B$2:$B$11,AGGREGATE(15,6,ROW('DM_NgheNghiep'!$B$2:$B$11)-ROW('DM_NgheNghiep'!$B$2)+1/ISNUMBER(SEARCH(SUBSTITUTE(UPPER($T35)," ",""),'DM_NgheNghiep'!$C$2:$C$11)),1)),"Không tìm thấy"))</f>
        <v/>
      </c>
      <c r="AD35" s="5">
        <f>IF($U35="","",IFERROR(INDEX('DM_NoiCongTac'!$B$2:$B$11,AGGREGATE(15,6,ROW('DM_NoiCongTac'!$B$2:$B$11)-ROW('DM_NoiCongTac'!$B$2)+1/ISNUMBER(SEARCH(SUBSTITUTE(UPPER($U35)," ",""),'DM_NoiCongTac'!$C$2:$C$11)),1)),"Không tìm thấy"))</f>
        <v/>
      </c>
      <c r="AF35" s="5">
        <f>IF($V35="","",IFERROR(INDEX('DM_XaPhuong'!$B$2:$B$169,AGGREGATE(15,6,ROW('DM_XaPhuong'!$B$2:$B$169)-ROW('DM_XaPhuong'!$B$2)+1/ISNUMBER(SEARCH(SUBSTITUTE(UPPER($V35)," ",""),'DM_XaPhuong'!$C$2:$C$169)),1)),"Không tìm thấy"))</f>
        <v/>
      </c>
    </row>
    <row r="36">
      <c r="C36" s="5">
        <f>IF($B36="","",IFERROR(INDEX('DM_DoiTuong'!$B$2:$B$19,AGGREGATE(15,6,ROW('DM_DoiTuong'!$B$2:$B$19)-ROW('DM_DoiTuong'!$B$2)+1/ISNUMBER(SEARCH(SUBSTITUTE(UPPER($B36)," ",""),'DM_DoiTuong'!$C$2:$C$19)),1)),"Không tìm thấy"))</f>
        <v/>
      </c>
      <c r="E36" s="5">
        <f>IF($C36="","",IFERROR(INDEX('DM_DiaDiemKham'!$B$2:$B$6,AGGREGATE(15,6,ROW('DM_DiaDiemKham'!$B$2:$B$6)-ROW('DM_DiaDiemKham'!$B$2)+1/ISNUMBER(SEARCH(SUBSTITUTE(UPPER($C36)," ",""),'DM_DiaDiemKham'!$C$2:$C$6)),1)),"Không tìm thấy"))</f>
        <v/>
      </c>
      <c r="G36" s="5">
        <f>IF($D36="","",IFERROR(INDEX('DM_HinhThucChiTra'!$B$2:$B$5,AGGREGATE(15,6,ROW('DM_HinhThucChiTra'!$B$2:$B$5)-ROW('DM_HinhThucChiTra'!$B$2)+1/ISNUMBER(SEARCH(SUBSTITUTE(UPPER($D36)," ",""),'DM_HinhThucChiTra'!$C$2:$C$5)),1)),"Không tìm thấy"))</f>
        <v/>
      </c>
      <c r="I36" s="5">
        <f>IF($E36="","",IFERROR(INDEX('DM_HinhThucKham'!$B$2:$B$3,AGGREGATE(15,6,ROW('DM_HinhThucKham'!$B$2:$B$3)-ROW('DM_HinhThucKham'!$B$2)+1/ISNUMBER(SEARCH(SUBSTITUTE(UPPER($E36)," ",""),'DM_HinhThucKham'!$C$2:$C$3)),1)),"Không tìm thấy"))</f>
        <v/>
      </c>
      <c r="P36" s="5">
        <f>IF($K36="","",IFERROR(INDEX('DM_DanToc'!$B$2:$B$78,AGGREGATE(15,6,ROW('DM_DanToc'!$B$2:$B$78)-ROW('DM_DanToc'!$B$2)+1/ISNUMBER(SEARCH(SUBSTITUTE(UPPER($K36)," ",""),'DM_DanToc'!$C$2:$C$78)),1)),"Không tìm thấy"))</f>
        <v/>
      </c>
      <c r="W36" s="5">
        <f>IF($Q36="","",IFERROR(INDEX('DM_TinhThanh'!$B$2:$B$35,AGGREGATE(15,6,ROW('DM_TinhThanh'!$B$2:$B$35)-ROW('DM_TinhThanh'!$B$2)+1/ISNUMBER(SEARCH(SUBSTITUTE(UPPER($Q36)," ",""),'DM_TinhThanh'!$C$2:$C$35)),1)),"Không tìm thấy"))</f>
        <v/>
      </c>
      <c r="Y36" s="5">
        <f>IF($R36="","",IFERROR(INDEX('DM_XaPhuong'!$B$2:$B$169,AGGREGATE(15,6,ROW('DM_XaPhuong'!$B$2:$B$169)-ROW('DM_XaPhuong'!$B$2)+1/ISNUMBER(SEARCH(SUBSTITUTE(UPPER($R36)," ",""),'DM_XaPhuong'!$C$2:$C$169)),1)),"Không tìm thấy"))</f>
        <v/>
      </c>
      <c r="AB36" s="5">
        <f>IF($T36="","",IFERROR(INDEX('DM_NgheNghiep'!$B$2:$B$11,AGGREGATE(15,6,ROW('DM_NgheNghiep'!$B$2:$B$11)-ROW('DM_NgheNghiep'!$B$2)+1/ISNUMBER(SEARCH(SUBSTITUTE(UPPER($T36)," ",""),'DM_NgheNghiep'!$C$2:$C$11)),1)),"Không tìm thấy"))</f>
        <v/>
      </c>
      <c r="AD36" s="5">
        <f>IF($U36="","",IFERROR(INDEX('DM_NoiCongTac'!$B$2:$B$11,AGGREGATE(15,6,ROW('DM_NoiCongTac'!$B$2:$B$11)-ROW('DM_NoiCongTac'!$B$2)+1/ISNUMBER(SEARCH(SUBSTITUTE(UPPER($U36)," ",""),'DM_NoiCongTac'!$C$2:$C$11)),1)),"Không tìm thấy"))</f>
        <v/>
      </c>
      <c r="AF36" s="5">
        <f>IF($V36="","",IFERROR(INDEX('DM_XaPhuong'!$B$2:$B$169,AGGREGATE(15,6,ROW('DM_XaPhuong'!$B$2:$B$169)-ROW('DM_XaPhuong'!$B$2)+1/ISNUMBER(SEARCH(SUBSTITUTE(UPPER($V36)," ",""),'DM_XaPhuong'!$C$2:$C$169)),1)),"Không tìm thấy"))</f>
        <v/>
      </c>
    </row>
    <row r="37">
      <c r="C37" s="5">
        <f>IF($B37="","",IFERROR(INDEX('DM_DoiTuong'!$B$2:$B$19,AGGREGATE(15,6,ROW('DM_DoiTuong'!$B$2:$B$19)-ROW('DM_DoiTuong'!$B$2)+1/ISNUMBER(SEARCH(SUBSTITUTE(UPPER($B37)," ",""),'DM_DoiTuong'!$C$2:$C$19)),1)),"Không tìm thấy"))</f>
        <v/>
      </c>
      <c r="E37" s="5">
        <f>IF($C37="","",IFERROR(INDEX('DM_DiaDiemKham'!$B$2:$B$6,AGGREGATE(15,6,ROW('DM_DiaDiemKham'!$B$2:$B$6)-ROW('DM_DiaDiemKham'!$B$2)+1/ISNUMBER(SEARCH(SUBSTITUTE(UPPER($C37)," ",""),'DM_DiaDiemKham'!$C$2:$C$6)),1)),"Không tìm thấy"))</f>
        <v/>
      </c>
      <c r="G37" s="5">
        <f>IF($D37="","",IFERROR(INDEX('DM_HinhThucChiTra'!$B$2:$B$5,AGGREGATE(15,6,ROW('DM_HinhThucChiTra'!$B$2:$B$5)-ROW('DM_HinhThucChiTra'!$B$2)+1/ISNUMBER(SEARCH(SUBSTITUTE(UPPER($D37)," ",""),'DM_HinhThucChiTra'!$C$2:$C$5)),1)),"Không tìm thấy"))</f>
        <v/>
      </c>
      <c r="I37" s="5">
        <f>IF($E37="","",IFERROR(INDEX('DM_HinhThucKham'!$B$2:$B$3,AGGREGATE(15,6,ROW('DM_HinhThucKham'!$B$2:$B$3)-ROW('DM_HinhThucKham'!$B$2)+1/ISNUMBER(SEARCH(SUBSTITUTE(UPPER($E37)," ",""),'DM_HinhThucKham'!$C$2:$C$3)),1)),"Không tìm thấy"))</f>
        <v/>
      </c>
      <c r="P37" s="5">
        <f>IF($K37="","",IFERROR(INDEX('DM_DanToc'!$B$2:$B$78,AGGREGATE(15,6,ROW('DM_DanToc'!$B$2:$B$78)-ROW('DM_DanToc'!$B$2)+1/ISNUMBER(SEARCH(SUBSTITUTE(UPPER($K37)," ",""),'DM_DanToc'!$C$2:$C$78)),1)),"Không tìm thấy"))</f>
        <v/>
      </c>
      <c r="W37" s="5">
        <f>IF($Q37="","",IFERROR(INDEX('DM_TinhThanh'!$B$2:$B$35,AGGREGATE(15,6,ROW('DM_TinhThanh'!$B$2:$B$35)-ROW('DM_TinhThanh'!$B$2)+1/ISNUMBER(SEARCH(SUBSTITUTE(UPPER($Q37)," ",""),'DM_TinhThanh'!$C$2:$C$35)),1)),"Không tìm thấy"))</f>
        <v/>
      </c>
      <c r="Y37" s="5">
        <f>IF($R37="","",IFERROR(INDEX('DM_XaPhuong'!$B$2:$B$169,AGGREGATE(15,6,ROW('DM_XaPhuong'!$B$2:$B$169)-ROW('DM_XaPhuong'!$B$2)+1/ISNUMBER(SEARCH(SUBSTITUTE(UPPER($R37)," ",""),'DM_XaPhuong'!$C$2:$C$169)),1)),"Không tìm thấy"))</f>
        <v/>
      </c>
      <c r="AB37" s="5">
        <f>IF($T37="","",IFERROR(INDEX('DM_NgheNghiep'!$B$2:$B$11,AGGREGATE(15,6,ROW('DM_NgheNghiep'!$B$2:$B$11)-ROW('DM_NgheNghiep'!$B$2)+1/ISNUMBER(SEARCH(SUBSTITUTE(UPPER($T37)," ",""),'DM_NgheNghiep'!$C$2:$C$11)),1)),"Không tìm thấy"))</f>
        <v/>
      </c>
      <c r="AD37" s="5">
        <f>IF($U37="","",IFERROR(INDEX('DM_NoiCongTac'!$B$2:$B$11,AGGREGATE(15,6,ROW('DM_NoiCongTac'!$B$2:$B$11)-ROW('DM_NoiCongTac'!$B$2)+1/ISNUMBER(SEARCH(SUBSTITUTE(UPPER($U37)," ",""),'DM_NoiCongTac'!$C$2:$C$11)),1)),"Không tìm thấy"))</f>
        <v/>
      </c>
      <c r="AF37" s="5">
        <f>IF($V37="","",IFERROR(INDEX('DM_XaPhuong'!$B$2:$B$169,AGGREGATE(15,6,ROW('DM_XaPhuong'!$B$2:$B$169)-ROW('DM_XaPhuong'!$B$2)+1/ISNUMBER(SEARCH(SUBSTITUTE(UPPER($V37)," ",""),'DM_XaPhuong'!$C$2:$C$169)),1)),"Không tìm thấy"))</f>
        <v/>
      </c>
    </row>
    <row r="38">
      <c r="C38" s="5">
        <f>IF($B38="","",IFERROR(INDEX('DM_DoiTuong'!$B$2:$B$19,AGGREGATE(15,6,ROW('DM_DoiTuong'!$B$2:$B$19)-ROW('DM_DoiTuong'!$B$2)+1/ISNUMBER(SEARCH(SUBSTITUTE(UPPER($B38)," ",""),'DM_DoiTuong'!$C$2:$C$19)),1)),"Không tìm thấy"))</f>
        <v/>
      </c>
      <c r="E38" s="5">
        <f>IF($C38="","",IFERROR(INDEX('DM_DiaDiemKham'!$B$2:$B$6,AGGREGATE(15,6,ROW('DM_DiaDiemKham'!$B$2:$B$6)-ROW('DM_DiaDiemKham'!$B$2)+1/ISNUMBER(SEARCH(SUBSTITUTE(UPPER($C38)," ",""),'DM_DiaDiemKham'!$C$2:$C$6)),1)),"Không tìm thấy"))</f>
        <v/>
      </c>
      <c r="G38" s="5">
        <f>IF($D38="","",IFERROR(INDEX('DM_HinhThucChiTra'!$B$2:$B$5,AGGREGATE(15,6,ROW('DM_HinhThucChiTra'!$B$2:$B$5)-ROW('DM_HinhThucChiTra'!$B$2)+1/ISNUMBER(SEARCH(SUBSTITUTE(UPPER($D38)," ",""),'DM_HinhThucChiTra'!$C$2:$C$5)),1)),"Không tìm thấy"))</f>
        <v/>
      </c>
      <c r="I38" s="5">
        <f>IF($E38="","",IFERROR(INDEX('DM_HinhThucKham'!$B$2:$B$3,AGGREGATE(15,6,ROW('DM_HinhThucKham'!$B$2:$B$3)-ROW('DM_HinhThucKham'!$B$2)+1/ISNUMBER(SEARCH(SUBSTITUTE(UPPER($E38)," ",""),'DM_HinhThucKham'!$C$2:$C$3)),1)),"Không tìm thấy"))</f>
        <v/>
      </c>
      <c r="P38" s="5">
        <f>IF($K38="","",IFERROR(INDEX('DM_DanToc'!$B$2:$B$78,AGGREGATE(15,6,ROW('DM_DanToc'!$B$2:$B$78)-ROW('DM_DanToc'!$B$2)+1/ISNUMBER(SEARCH(SUBSTITUTE(UPPER($K38)," ",""),'DM_DanToc'!$C$2:$C$78)),1)),"Không tìm thấy"))</f>
        <v/>
      </c>
      <c r="W38" s="5">
        <f>IF($Q38="","",IFERROR(INDEX('DM_TinhThanh'!$B$2:$B$35,AGGREGATE(15,6,ROW('DM_TinhThanh'!$B$2:$B$35)-ROW('DM_TinhThanh'!$B$2)+1/ISNUMBER(SEARCH(SUBSTITUTE(UPPER($Q38)," ",""),'DM_TinhThanh'!$C$2:$C$35)),1)),"Không tìm thấy"))</f>
        <v/>
      </c>
      <c r="Y38" s="5">
        <f>IF($R38="","",IFERROR(INDEX('DM_XaPhuong'!$B$2:$B$169,AGGREGATE(15,6,ROW('DM_XaPhuong'!$B$2:$B$169)-ROW('DM_XaPhuong'!$B$2)+1/ISNUMBER(SEARCH(SUBSTITUTE(UPPER($R38)," ",""),'DM_XaPhuong'!$C$2:$C$169)),1)),"Không tìm thấy"))</f>
        <v/>
      </c>
      <c r="AB38" s="5">
        <f>IF($T38="","",IFERROR(INDEX('DM_NgheNghiep'!$B$2:$B$11,AGGREGATE(15,6,ROW('DM_NgheNghiep'!$B$2:$B$11)-ROW('DM_NgheNghiep'!$B$2)+1/ISNUMBER(SEARCH(SUBSTITUTE(UPPER($T38)," ",""),'DM_NgheNghiep'!$C$2:$C$11)),1)),"Không tìm thấy"))</f>
        <v/>
      </c>
      <c r="AD38" s="5">
        <f>IF($U38="","",IFERROR(INDEX('DM_NoiCongTac'!$B$2:$B$11,AGGREGATE(15,6,ROW('DM_NoiCongTac'!$B$2:$B$11)-ROW('DM_NoiCongTac'!$B$2)+1/ISNUMBER(SEARCH(SUBSTITUTE(UPPER($U38)," ",""),'DM_NoiCongTac'!$C$2:$C$11)),1)),"Không tìm thấy"))</f>
        <v/>
      </c>
      <c r="AF38" s="5">
        <f>IF($V38="","",IFERROR(INDEX('DM_XaPhuong'!$B$2:$B$169,AGGREGATE(15,6,ROW('DM_XaPhuong'!$B$2:$B$169)-ROW('DM_XaPhuong'!$B$2)+1/ISNUMBER(SEARCH(SUBSTITUTE(UPPER($V38)," ",""),'DM_XaPhuong'!$C$2:$C$169)),1)),"Không tìm thấy"))</f>
        <v/>
      </c>
    </row>
    <row r="39">
      <c r="C39" s="5">
        <f>IF($B39="","",IFERROR(INDEX('DM_DoiTuong'!$B$2:$B$19,AGGREGATE(15,6,ROW('DM_DoiTuong'!$B$2:$B$19)-ROW('DM_DoiTuong'!$B$2)+1/ISNUMBER(SEARCH(SUBSTITUTE(UPPER($B39)," ",""),'DM_DoiTuong'!$C$2:$C$19)),1)),"Không tìm thấy"))</f>
        <v/>
      </c>
      <c r="E39" s="5">
        <f>IF($C39="","",IFERROR(INDEX('DM_DiaDiemKham'!$B$2:$B$6,AGGREGATE(15,6,ROW('DM_DiaDiemKham'!$B$2:$B$6)-ROW('DM_DiaDiemKham'!$B$2)+1/ISNUMBER(SEARCH(SUBSTITUTE(UPPER($C39)," ",""),'DM_DiaDiemKham'!$C$2:$C$6)),1)),"Không tìm thấy"))</f>
        <v/>
      </c>
      <c r="G39" s="5">
        <f>IF($D39="","",IFERROR(INDEX('DM_HinhThucChiTra'!$B$2:$B$5,AGGREGATE(15,6,ROW('DM_HinhThucChiTra'!$B$2:$B$5)-ROW('DM_HinhThucChiTra'!$B$2)+1/ISNUMBER(SEARCH(SUBSTITUTE(UPPER($D39)," ",""),'DM_HinhThucChiTra'!$C$2:$C$5)),1)),"Không tìm thấy"))</f>
        <v/>
      </c>
      <c r="I39" s="5">
        <f>IF($E39="","",IFERROR(INDEX('DM_HinhThucKham'!$B$2:$B$3,AGGREGATE(15,6,ROW('DM_HinhThucKham'!$B$2:$B$3)-ROW('DM_HinhThucKham'!$B$2)+1/ISNUMBER(SEARCH(SUBSTITUTE(UPPER($E39)," ",""),'DM_HinhThucKham'!$C$2:$C$3)),1)),"Không tìm thấy"))</f>
        <v/>
      </c>
      <c r="P39" s="5">
        <f>IF($K39="","",IFERROR(INDEX('DM_DanToc'!$B$2:$B$78,AGGREGATE(15,6,ROW('DM_DanToc'!$B$2:$B$78)-ROW('DM_DanToc'!$B$2)+1/ISNUMBER(SEARCH(SUBSTITUTE(UPPER($K39)," ",""),'DM_DanToc'!$C$2:$C$78)),1)),"Không tìm thấy"))</f>
        <v/>
      </c>
      <c r="W39" s="5">
        <f>IF($Q39="","",IFERROR(INDEX('DM_TinhThanh'!$B$2:$B$35,AGGREGATE(15,6,ROW('DM_TinhThanh'!$B$2:$B$35)-ROW('DM_TinhThanh'!$B$2)+1/ISNUMBER(SEARCH(SUBSTITUTE(UPPER($Q39)," ",""),'DM_TinhThanh'!$C$2:$C$35)),1)),"Không tìm thấy"))</f>
        <v/>
      </c>
      <c r="Y39" s="5">
        <f>IF($R39="","",IFERROR(INDEX('DM_XaPhuong'!$B$2:$B$169,AGGREGATE(15,6,ROW('DM_XaPhuong'!$B$2:$B$169)-ROW('DM_XaPhuong'!$B$2)+1/ISNUMBER(SEARCH(SUBSTITUTE(UPPER($R39)," ",""),'DM_XaPhuong'!$C$2:$C$169)),1)),"Không tìm thấy"))</f>
        <v/>
      </c>
      <c r="AB39" s="5">
        <f>IF($T39="","",IFERROR(INDEX('DM_NgheNghiep'!$B$2:$B$11,AGGREGATE(15,6,ROW('DM_NgheNghiep'!$B$2:$B$11)-ROW('DM_NgheNghiep'!$B$2)+1/ISNUMBER(SEARCH(SUBSTITUTE(UPPER($T39)," ",""),'DM_NgheNghiep'!$C$2:$C$11)),1)),"Không tìm thấy"))</f>
        <v/>
      </c>
      <c r="AD39" s="5">
        <f>IF($U39="","",IFERROR(INDEX('DM_NoiCongTac'!$B$2:$B$11,AGGREGATE(15,6,ROW('DM_NoiCongTac'!$B$2:$B$11)-ROW('DM_NoiCongTac'!$B$2)+1/ISNUMBER(SEARCH(SUBSTITUTE(UPPER($U39)," ",""),'DM_NoiCongTac'!$C$2:$C$11)),1)),"Không tìm thấy"))</f>
        <v/>
      </c>
      <c r="AF39" s="5">
        <f>IF($V39="","",IFERROR(INDEX('DM_XaPhuong'!$B$2:$B$169,AGGREGATE(15,6,ROW('DM_XaPhuong'!$B$2:$B$169)-ROW('DM_XaPhuong'!$B$2)+1/ISNUMBER(SEARCH(SUBSTITUTE(UPPER($V39)," ",""),'DM_XaPhuong'!$C$2:$C$169)),1)),"Không tìm thấy"))</f>
        <v/>
      </c>
    </row>
    <row r="40">
      <c r="C40" s="5">
        <f>IF($B40="","",IFERROR(INDEX('DM_DoiTuong'!$B$2:$B$19,AGGREGATE(15,6,ROW('DM_DoiTuong'!$B$2:$B$19)-ROW('DM_DoiTuong'!$B$2)+1/ISNUMBER(SEARCH(SUBSTITUTE(UPPER($B40)," ",""),'DM_DoiTuong'!$C$2:$C$19)),1)),"Không tìm thấy"))</f>
        <v/>
      </c>
      <c r="E40" s="5">
        <f>IF($C40="","",IFERROR(INDEX('DM_DiaDiemKham'!$B$2:$B$6,AGGREGATE(15,6,ROW('DM_DiaDiemKham'!$B$2:$B$6)-ROW('DM_DiaDiemKham'!$B$2)+1/ISNUMBER(SEARCH(SUBSTITUTE(UPPER($C40)," ",""),'DM_DiaDiemKham'!$C$2:$C$6)),1)),"Không tìm thấy"))</f>
        <v/>
      </c>
      <c r="G40" s="5">
        <f>IF($D40="","",IFERROR(INDEX('DM_HinhThucChiTra'!$B$2:$B$5,AGGREGATE(15,6,ROW('DM_HinhThucChiTra'!$B$2:$B$5)-ROW('DM_HinhThucChiTra'!$B$2)+1/ISNUMBER(SEARCH(SUBSTITUTE(UPPER($D40)," ",""),'DM_HinhThucChiTra'!$C$2:$C$5)),1)),"Không tìm thấy"))</f>
        <v/>
      </c>
      <c r="I40" s="5">
        <f>IF($E40="","",IFERROR(INDEX('DM_HinhThucKham'!$B$2:$B$3,AGGREGATE(15,6,ROW('DM_HinhThucKham'!$B$2:$B$3)-ROW('DM_HinhThucKham'!$B$2)+1/ISNUMBER(SEARCH(SUBSTITUTE(UPPER($E40)," ",""),'DM_HinhThucKham'!$C$2:$C$3)),1)),"Không tìm thấy"))</f>
        <v/>
      </c>
      <c r="P40" s="5">
        <f>IF($K40="","",IFERROR(INDEX('DM_DanToc'!$B$2:$B$78,AGGREGATE(15,6,ROW('DM_DanToc'!$B$2:$B$78)-ROW('DM_DanToc'!$B$2)+1/ISNUMBER(SEARCH(SUBSTITUTE(UPPER($K40)," ",""),'DM_DanToc'!$C$2:$C$78)),1)),"Không tìm thấy"))</f>
        <v/>
      </c>
      <c r="W40" s="5">
        <f>IF($Q40="","",IFERROR(INDEX('DM_TinhThanh'!$B$2:$B$35,AGGREGATE(15,6,ROW('DM_TinhThanh'!$B$2:$B$35)-ROW('DM_TinhThanh'!$B$2)+1/ISNUMBER(SEARCH(SUBSTITUTE(UPPER($Q40)," ",""),'DM_TinhThanh'!$C$2:$C$35)),1)),"Không tìm thấy"))</f>
        <v/>
      </c>
      <c r="Y40" s="5">
        <f>IF($R40="","",IFERROR(INDEX('DM_XaPhuong'!$B$2:$B$169,AGGREGATE(15,6,ROW('DM_XaPhuong'!$B$2:$B$169)-ROW('DM_XaPhuong'!$B$2)+1/ISNUMBER(SEARCH(SUBSTITUTE(UPPER($R40)," ",""),'DM_XaPhuong'!$C$2:$C$169)),1)),"Không tìm thấy"))</f>
        <v/>
      </c>
      <c r="AB40" s="5">
        <f>IF($T40="","",IFERROR(INDEX('DM_NgheNghiep'!$B$2:$B$11,AGGREGATE(15,6,ROW('DM_NgheNghiep'!$B$2:$B$11)-ROW('DM_NgheNghiep'!$B$2)+1/ISNUMBER(SEARCH(SUBSTITUTE(UPPER($T40)," ",""),'DM_NgheNghiep'!$C$2:$C$11)),1)),"Không tìm thấy"))</f>
        <v/>
      </c>
      <c r="AD40" s="5">
        <f>IF($U40="","",IFERROR(INDEX('DM_NoiCongTac'!$B$2:$B$11,AGGREGATE(15,6,ROW('DM_NoiCongTac'!$B$2:$B$11)-ROW('DM_NoiCongTac'!$B$2)+1/ISNUMBER(SEARCH(SUBSTITUTE(UPPER($U40)," ",""),'DM_NoiCongTac'!$C$2:$C$11)),1)),"Không tìm thấy"))</f>
        <v/>
      </c>
      <c r="AF40" s="5">
        <f>IF($V40="","",IFERROR(INDEX('DM_XaPhuong'!$B$2:$B$169,AGGREGATE(15,6,ROW('DM_XaPhuong'!$B$2:$B$169)-ROW('DM_XaPhuong'!$B$2)+1/ISNUMBER(SEARCH(SUBSTITUTE(UPPER($V40)," ",""),'DM_XaPhuong'!$C$2:$C$169)),1)),"Không tìm thấy"))</f>
        <v/>
      </c>
    </row>
    <row r="41">
      <c r="C41" s="5">
        <f>IF($B41="","",IFERROR(INDEX('DM_DoiTuong'!$B$2:$B$19,AGGREGATE(15,6,ROW('DM_DoiTuong'!$B$2:$B$19)-ROW('DM_DoiTuong'!$B$2)+1/ISNUMBER(SEARCH(SUBSTITUTE(UPPER($B41)," ",""),'DM_DoiTuong'!$C$2:$C$19)),1)),"Không tìm thấy"))</f>
        <v/>
      </c>
      <c r="E41" s="5">
        <f>IF($C41="","",IFERROR(INDEX('DM_DiaDiemKham'!$B$2:$B$6,AGGREGATE(15,6,ROW('DM_DiaDiemKham'!$B$2:$B$6)-ROW('DM_DiaDiemKham'!$B$2)+1/ISNUMBER(SEARCH(SUBSTITUTE(UPPER($C41)," ",""),'DM_DiaDiemKham'!$C$2:$C$6)),1)),"Không tìm thấy"))</f>
        <v/>
      </c>
      <c r="G41" s="5">
        <f>IF($D41="","",IFERROR(INDEX('DM_HinhThucChiTra'!$B$2:$B$5,AGGREGATE(15,6,ROW('DM_HinhThucChiTra'!$B$2:$B$5)-ROW('DM_HinhThucChiTra'!$B$2)+1/ISNUMBER(SEARCH(SUBSTITUTE(UPPER($D41)," ",""),'DM_HinhThucChiTra'!$C$2:$C$5)),1)),"Không tìm thấy"))</f>
        <v/>
      </c>
      <c r="I41" s="5">
        <f>IF($E41="","",IFERROR(INDEX('DM_HinhThucKham'!$B$2:$B$3,AGGREGATE(15,6,ROW('DM_HinhThucKham'!$B$2:$B$3)-ROW('DM_HinhThucKham'!$B$2)+1/ISNUMBER(SEARCH(SUBSTITUTE(UPPER($E41)," ",""),'DM_HinhThucKham'!$C$2:$C$3)),1)),"Không tìm thấy"))</f>
        <v/>
      </c>
      <c r="P41" s="5">
        <f>IF($K41="","",IFERROR(INDEX('DM_DanToc'!$B$2:$B$78,AGGREGATE(15,6,ROW('DM_DanToc'!$B$2:$B$78)-ROW('DM_DanToc'!$B$2)+1/ISNUMBER(SEARCH(SUBSTITUTE(UPPER($K41)," ",""),'DM_DanToc'!$C$2:$C$78)),1)),"Không tìm thấy"))</f>
        <v/>
      </c>
      <c r="W41" s="5">
        <f>IF($Q41="","",IFERROR(INDEX('DM_TinhThanh'!$B$2:$B$35,AGGREGATE(15,6,ROW('DM_TinhThanh'!$B$2:$B$35)-ROW('DM_TinhThanh'!$B$2)+1/ISNUMBER(SEARCH(SUBSTITUTE(UPPER($Q41)," ",""),'DM_TinhThanh'!$C$2:$C$35)),1)),"Không tìm thấy"))</f>
        <v/>
      </c>
      <c r="Y41" s="5">
        <f>IF($R41="","",IFERROR(INDEX('DM_XaPhuong'!$B$2:$B$169,AGGREGATE(15,6,ROW('DM_XaPhuong'!$B$2:$B$169)-ROW('DM_XaPhuong'!$B$2)+1/ISNUMBER(SEARCH(SUBSTITUTE(UPPER($R41)," ",""),'DM_XaPhuong'!$C$2:$C$169)),1)),"Không tìm thấy"))</f>
        <v/>
      </c>
      <c r="AB41" s="5">
        <f>IF($T41="","",IFERROR(INDEX('DM_NgheNghiep'!$B$2:$B$11,AGGREGATE(15,6,ROW('DM_NgheNghiep'!$B$2:$B$11)-ROW('DM_NgheNghiep'!$B$2)+1/ISNUMBER(SEARCH(SUBSTITUTE(UPPER($T41)," ",""),'DM_NgheNghiep'!$C$2:$C$11)),1)),"Không tìm thấy"))</f>
        <v/>
      </c>
      <c r="AD41" s="5">
        <f>IF($U41="","",IFERROR(INDEX('DM_NoiCongTac'!$B$2:$B$11,AGGREGATE(15,6,ROW('DM_NoiCongTac'!$B$2:$B$11)-ROW('DM_NoiCongTac'!$B$2)+1/ISNUMBER(SEARCH(SUBSTITUTE(UPPER($U41)," ",""),'DM_NoiCongTac'!$C$2:$C$11)),1)),"Không tìm thấy"))</f>
        <v/>
      </c>
      <c r="AF41" s="5">
        <f>IF($V41="","",IFERROR(INDEX('DM_XaPhuong'!$B$2:$B$169,AGGREGATE(15,6,ROW('DM_XaPhuong'!$B$2:$B$169)-ROW('DM_XaPhuong'!$B$2)+1/ISNUMBER(SEARCH(SUBSTITUTE(UPPER($V41)," ",""),'DM_XaPhuong'!$C$2:$C$169)),1)),"Không tìm thấy"))</f>
        <v/>
      </c>
    </row>
    <row r="42">
      <c r="C42" s="5">
        <f>IF($B42="","",IFERROR(INDEX('DM_DoiTuong'!$B$2:$B$19,AGGREGATE(15,6,ROW('DM_DoiTuong'!$B$2:$B$19)-ROW('DM_DoiTuong'!$B$2)+1/ISNUMBER(SEARCH(SUBSTITUTE(UPPER($B42)," ",""),'DM_DoiTuong'!$C$2:$C$19)),1)),"Không tìm thấy"))</f>
        <v/>
      </c>
      <c r="E42" s="5">
        <f>IF($C42="","",IFERROR(INDEX('DM_DiaDiemKham'!$B$2:$B$6,AGGREGATE(15,6,ROW('DM_DiaDiemKham'!$B$2:$B$6)-ROW('DM_DiaDiemKham'!$B$2)+1/ISNUMBER(SEARCH(SUBSTITUTE(UPPER($C42)," ",""),'DM_DiaDiemKham'!$C$2:$C$6)),1)),"Không tìm thấy"))</f>
        <v/>
      </c>
      <c r="G42" s="5">
        <f>IF($D42="","",IFERROR(INDEX('DM_HinhThucChiTra'!$B$2:$B$5,AGGREGATE(15,6,ROW('DM_HinhThucChiTra'!$B$2:$B$5)-ROW('DM_HinhThucChiTra'!$B$2)+1/ISNUMBER(SEARCH(SUBSTITUTE(UPPER($D42)," ",""),'DM_HinhThucChiTra'!$C$2:$C$5)),1)),"Không tìm thấy"))</f>
        <v/>
      </c>
      <c r="I42" s="5">
        <f>IF($E42="","",IFERROR(INDEX('DM_HinhThucKham'!$B$2:$B$3,AGGREGATE(15,6,ROW('DM_HinhThucKham'!$B$2:$B$3)-ROW('DM_HinhThucKham'!$B$2)+1/ISNUMBER(SEARCH(SUBSTITUTE(UPPER($E42)," ",""),'DM_HinhThucKham'!$C$2:$C$3)),1)),"Không tìm thấy"))</f>
        <v/>
      </c>
      <c r="P42" s="5">
        <f>IF($K42="","",IFERROR(INDEX('DM_DanToc'!$B$2:$B$78,AGGREGATE(15,6,ROW('DM_DanToc'!$B$2:$B$78)-ROW('DM_DanToc'!$B$2)+1/ISNUMBER(SEARCH(SUBSTITUTE(UPPER($K42)," ",""),'DM_DanToc'!$C$2:$C$78)),1)),"Không tìm thấy"))</f>
        <v/>
      </c>
      <c r="W42" s="5">
        <f>IF($Q42="","",IFERROR(INDEX('DM_TinhThanh'!$B$2:$B$35,AGGREGATE(15,6,ROW('DM_TinhThanh'!$B$2:$B$35)-ROW('DM_TinhThanh'!$B$2)+1/ISNUMBER(SEARCH(SUBSTITUTE(UPPER($Q42)," ",""),'DM_TinhThanh'!$C$2:$C$35)),1)),"Không tìm thấy"))</f>
        <v/>
      </c>
      <c r="Y42" s="5">
        <f>IF($R42="","",IFERROR(INDEX('DM_XaPhuong'!$B$2:$B$169,AGGREGATE(15,6,ROW('DM_XaPhuong'!$B$2:$B$169)-ROW('DM_XaPhuong'!$B$2)+1/ISNUMBER(SEARCH(SUBSTITUTE(UPPER($R42)," ",""),'DM_XaPhuong'!$C$2:$C$169)),1)),"Không tìm thấy"))</f>
        <v/>
      </c>
      <c r="AB42" s="5">
        <f>IF($T42="","",IFERROR(INDEX('DM_NgheNghiep'!$B$2:$B$11,AGGREGATE(15,6,ROW('DM_NgheNghiep'!$B$2:$B$11)-ROW('DM_NgheNghiep'!$B$2)+1/ISNUMBER(SEARCH(SUBSTITUTE(UPPER($T42)," ",""),'DM_NgheNghiep'!$C$2:$C$11)),1)),"Không tìm thấy"))</f>
        <v/>
      </c>
      <c r="AD42" s="5">
        <f>IF($U42="","",IFERROR(INDEX('DM_NoiCongTac'!$B$2:$B$11,AGGREGATE(15,6,ROW('DM_NoiCongTac'!$B$2:$B$11)-ROW('DM_NoiCongTac'!$B$2)+1/ISNUMBER(SEARCH(SUBSTITUTE(UPPER($U42)," ",""),'DM_NoiCongTac'!$C$2:$C$11)),1)),"Không tìm thấy"))</f>
        <v/>
      </c>
      <c r="AF42" s="5">
        <f>IF($V42="","",IFERROR(INDEX('DM_XaPhuong'!$B$2:$B$169,AGGREGATE(15,6,ROW('DM_XaPhuong'!$B$2:$B$169)-ROW('DM_XaPhuong'!$B$2)+1/ISNUMBER(SEARCH(SUBSTITUTE(UPPER($V42)," ",""),'DM_XaPhuong'!$C$2:$C$169)),1)),"Không tìm thấy"))</f>
        <v/>
      </c>
    </row>
    <row r="43">
      <c r="C43" s="5">
        <f>IF($B43="","",IFERROR(INDEX('DM_DoiTuong'!$B$2:$B$19,AGGREGATE(15,6,ROW('DM_DoiTuong'!$B$2:$B$19)-ROW('DM_DoiTuong'!$B$2)+1/ISNUMBER(SEARCH(SUBSTITUTE(UPPER($B43)," ",""),'DM_DoiTuong'!$C$2:$C$19)),1)),"Không tìm thấy"))</f>
        <v/>
      </c>
      <c r="E43" s="5">
        <f>IF($C43="","",IFERROR(INDEX('DM_DiaDiemKham'!$B$2:$B$6,AGGREGATE(15,6,ROW('DM_DiaDiemKham'!$B$2:$B$6)-ROW('DM_DiaDiemKham'!$B$2)+1/ISNUMBER(SEARCH(SUBSTITUTE(UPPER($C43)," ",""),'DM_DiaDiemKham'!$C$2:$C$6)),1)),"Không tìm thấy"))</f>
        <v/>
      </c>
      <c r="G43" s="5">
        <f>IF($D43="","",IFERROR(INDEX('DM_HinhThucChiTra'!$B$2:$B$5,AGGREGATE(15,6,ROW('DM_HinhThucChiTra'!$B$2:$B$5)-ROW('DM_HinhThucChiTra'!$B$2)+1/ISNUMBER(SEARCH(SUBSTITUTE(UPPER($D43)," ",""),'DM_HinhThucChiTra'!$C$2:$C$5)),1)),"Không tìm thấy"))</f>
        <v/>
      </c>
      <c r="I43" s="5">
        <f>IF($E43="","",IFERROR(INDEX('DM_HinhThucKham'!$B$2:$B$3,AGGREGATE(15,6,ROW('DM_HinhThucKham'!$B$2:$B$3)-ROW('DM_HinhThucKham'!$B$2)+1/ISNUMBER(SEARCH(SUBSTITUTE(UPPER($E43)," ",""),'DM_HinhThucKham'!$C$2:$C$3)),1)),"Không tìm thấy"))</f>
        <v/>
      </c>
      <c r="P43" s="5">
        <f>IF($K43="","",IFERROR(INDEX('DM_DanToc'!$B$2:$B$78,AGGREGATE(15,6,ROW('DM_DanToc'!$B$2:$B$78)-ROW('DM_DanToc'!$B$2)+1/ISNUMBER(SEARCH(SUBSTITUTE(UPPER($K43)," ",""),'DM_DanToc'!$C$2:$C$78)),1)),"Không tìm thấy"))</f>
        <v/>
      </c>
      <c r="W43" s="5">
        <f>IF($Q43="","",IFERROR(INDEX('DM_TinhThanh'!$B$2:$B$35,AGGREGATE(15,6,ROW('DM_TinhThanh'!$B$2:$B$35)-ROW('DM_TinhThanh'!$B$2)+1/ISNUMBER(SEARCH(SUBSTITUTE(UPPER($Q43)," ",""),'DM_TinhThanh'!$C$2:$C$35)),1)),"Không tìm thấy"))</f>
        <v/>
      </c>
      <c r="Y43" s="5">
        <f>IF($R43="","",IFERROR(INDEX('DM_XaPhuong'!$B$2:$B$169,AGGREGATE(15,6,ROW('DM_XaPhuong'!$B$2:$B$169)-ROW('DM_XaPhuong'!$B$2)+1/ISNUMBER(SEARCH(SUBSTITUTE(UPPER($R43)," ",""),'DM_XaPhuong'!$C$2:$C$169)),1)),"Không tìm thấy"))</f>
        <v/>
      </c>
      <c r="AB43" s="5">
        <f>IF($T43="","",IFERROR(INDEX('DM_NgheNghiep'!$B$2:$B$11,AGGREGATE(15,6,ROW('DM_NgheNghiep'!$B$2:$B$11)-ROW('DM_NgheNghiep'!$B$2)+1/ISNUMBER(SEARCH(SUBSTITUTE(UPPER($T43)," ",""),'DM_NgheNghiep'!$C$2:$C$11)),1)),"Không tìm thấy"))</f>
        <v/>
      </c>
      <c r="AD43" s="5">
        <f>IF($U43="","",IFERROR(INDEX('DM_NoiCongTac'!$B$2:$B$11,AGGREGATE(15,6,ROW('DM_NoiCongTac'!$B$2:$B$11)-ROW('DM_NoiCongTac'!$B$2)+1/ISNUMBER(SEARCH(SUBSTITUTE(UPPER($U43)," ",""),'DM_NoiCongTac'!$C$2:$C$11)),1)),"Không tìm thấy"))</f>
        <v/>
      </c>
      <c r="AF43" s="5">
        <f>IF($V43="","",IFERROR(INDEX('DM_XaPhuong'!$B$2:$B$169,AGGREGATE(15,6,ROW('DM_XaPhuong'!$B$2:$B$169)-ROW('DM_XaPhuong'!$B$2)+1/ISNUMBER(SEARCH(SUBSTITUTE(UPPER($V43)," ",""),'DM_XaPhuong'!$C$2:$C$169)),1)),"Không tìm thấy"))</f>
        <v/>
      </c>
    </row>
    <row r="44">
      <c r="C44" s="5">
        <f>IF($B44="","",IFERROR(INDEX('DM_DoiTuong'!$B$2:$B$19,AGGREGATE(15,6,ROW('DM_DoiTuong'!$B$2:$B$19)-ROW('DM_DoiTuong'!$B$2)+1/ISNUMBER(SEARCH(SUBSTITUTE(UPPER($B44)," ",""),'DM_DoiTuong'!$C$2:$C$19)),1)),"Không tìm thấy"))</f>
        <v/>
      </c>
      <c r="E44" s="5">
        <f>IF($C44="","",IFERROR(INDEX('DM_DiaDiemKham'!$B$2:$B$6,AGGREGATE(15,6,ROW('DM_DiaDiemKham'!$B$2:$B$6)-ROW('DM_DiaDiemKham'!$B$2)+1/ISNUMBER(SEARCH(SUBSTITUTE(UPPER($C44)," ",""),'DM_DiaDiemKham'!$C$2:$C$6)),1)),"Không tìm thấy"))</f>
        <v/>
      </c>
      <c r="G44" s="5">
        <f>IF($D44="","",IFERROR(INDEX('DM_HinhThucChiTra'!$B$2:$B$5,AGGREGATE(15,6,ROW('DM_HinhThucChiTra'!$B$2:$B$5)-ROW('DM_HinhThucChiTra'!$B$2)+1/ISNUMBER(SEARCH(SUBSTITUTE(UPPER($D44)," ",""),'DM_HinhThucChiTra'!$C$2:$C$5)),1)),"Không tìm thấy"))</f>
        <v/>
      </c>
      <c r="I44" s="5">
        <f>IF($E44="","",IFERROR(INDEX('DM_HinhThucKham'!$B$2:$B$3,AGGREGATE(15,6,ROW('DM_HinhThucKham'!$B$2:$B$3)-ROW('DM_HinhThucKham'!$B$2)+1/ISNUMBER(SEARCH(SUBSTITUTE(UPPER($E44)," ",""),'DM_HinhThucKham'!$C$2:$C$3)),1)),"Không tìm thấy"))</f>
        <v/>
      </c>
      <c r="P44" s="5">
        <f>IF($K44="","",IFERROR(INDEX('DM_DanToc'!$B$2:$B$78,AGGREGATE(15,6,ROW('DM_DanToc'!$B$2:$B$78)-ROW('DM_DanToc'!$B$2)+1/ISNUMBER(SEARCH(SUBSTITUTE(UPPER($K44)," ",""),'DM_DanToc'!$C$2:$C$78)),1)),"Không tìm thấy"))</f>
        <v/>
      </c>
      <c r="W44" s="5">
        <f>IF($Q44="","",IFERROR(INDEX('DM_TinhThanh'!$B$2:$B$35,AGGREGATE(15,6,ROW('DM_TinhThanh'!$B$2:$B$35)-ROW('DM_TinhThanh'!$B$2)+1/ISNUMBER(SEARCH(SUBSTITUTE(UPPER($Q44)," ",""),'DM_TinhThanh'!$C$2:$C$35)),1)),"Không tìm thấy"))</f>
        <v/>
      </c>
      <c r="Y44" s="5">
        <f>IF($R44="","",IFERROR(INDEX('DM_XaPhuong'!$B$2:$B$169,AGGREGATE(15,6,ROW('DM_XaPhuong'!$B$2:$B$169)-ROW('DM_XaPhuong'!$B$2)+1/ISNUMBER(SEARCH(SUBSTITUTE(UPPER($R44)," ",""),'DM_XaPhuong'!$C$2:$C$169)),1)),"Không tìm thấy"))</f>
        <v/>
      </c>
      <c r="AB44" s="5">
        <f>IF($T44="","",IFERROR(INDEX('DM_NgheNghiep'!$B$2:$B$11,AGGREGATE(15,6,ROW('DM_NgheNghiep'!$B$2:$B$11)-ROW('DM_NgheNghiep'!$B$2)+1/ISNUMBER(SEARCH(SUBSTITUTE(UPPER($T44)," ",""),'DM_NgheNghiep'!$C$2:$C$11)),1)),"Không tìm thấy"))</f>
        <v/>
      </c>
      <c r="AD44" s="5">
        <f>IF($U44="","",IFERROR(INDEX('DM_NoiCongTac'!$B$2:$B$11,AGGREGATE(15,6,ROW('DM_NoiCongTac'!$B$2:$B$11)-ROW('DM_NoiCongTac'!$B$2)+1/ISNUMBER(SEARCH(SUBSTITUTE(UPPER($U44)," ",""),'DM_NoiCongTac'!$C$2:$C$11)),1)),"Không tìm thấy"))</f>
        <v/>
      </c>
      <c r="AF44" s="5">
        <f>IF($V44="","",IFERROR(INDEX('DM_XaPhuong'!$B$2:$B$169,AGGREGATE(15,6,ROW('DM_XaPhuong'!$B$2:$B$169)-ROW('DM_XaPhuong'!$B$2)+1/ISNUMBER(SEARCH(SUBSTITUTE(UPPER($V44)," ",""),'DM_XaPhuong'!$C$2:$C$169)),1)),"Không tìm thấy"))</f>
        <v/>
      </c>
    </row>
    <row r="45">
      <c r="C45" s="5">
        <f>IF($B45="","",IFERROR(INDEX('DM_DoiTuong'!$B$2:$B$19,AGGREGATE(15,6,ROW('DM_DoiTuong'!$B$2:$B$19)-ROW('DM_DoiTuong'!$B$2)+1/ISNUMBER(SEARCH(SUBSTITUTE(UPPER($B45)," ",""),'DM_DoiTuong'!$C$2:$C$19)),1)),"Không tìm thấy"))</f>
        <v/>
      </c>
      <c r="E45" s="5">
        <f>IF($C45="","",IFERROR(INDEX('DM_DiaDiemKham'!$B$2:$B$6,AGGREGATE(15,6,ROW('DM_DiaDiemKham'!$B$2:$B$6)-ROW('DM_DiaDiemKham'!$B$2)+1/ISNUMBER(SEARCH(SUBSTITUTE(UPPER($C45)," ",""),'DM_DiaDiemKham'!$C$2:$C$6)),1)),"Không tìm thấy"))</f>
        <v/>
      </c>
      <c r="G45" s="5">
        <f>IF($D45="","",IFERROR(INDEX('DM_HinhThucChiTra'!$B$2:$B$5,AGGREGATE(15,6,ROW('DM_HinhThucChiTra'!$B$2:$B$5)-ROW('DM_HinhThucChiTra'!$B$2)+1/ISNUMBER(SEARCH(SUBSTITUTE(UPPER($D45)," ",""),'DM_HinhThucChiTra'!$C$2:$C$5)),1)),"Không tìm thấy"))</f>
        <v/>
      </c>
      <c r="I45" s="5">
        <f>IF($E45="","",IFERROR(INDEX('DM_HinhThucKham'!$B$2:$B$3,AGGREGATE(15,6,ROW('DM_HinhThucKham'!$B$2:$B$3)-ROW('DM_HinhThucKham'!$B$2)+1/ISNUMBER(SEARCH(SUBSTITUTE(UPPER($E45)," ",""),'DM_HinhThucKham'!$C$2:$C$3)),1)),"Không tìm thấy"))</f>
        <v/>
      </c>
      <c r="P45" s="5">
        <f>IF($K45="","",IFERROR(INDEX('DM_DanToc'!$B$2:$B$78,AGGREGATE(15,6,ROW('DM_DanToc'!$B$2:$B$78)-ROW('DM_DanToc'!$B$2)+1/ISNUMBER(SEARCH(SUBSTITUTE(UPPER($K45)," ",""),'DM_DanToc'!$C$2:$C$78)),1)),"Không tìm thấy"))</f>
        <v/>
      </c>
      <c r="W45" s="5">
        <f>IF($Q45="","",IFERROR(INDEX('DM_TinhThanh'!$B$2:$B$35,AGGREGATE(15,6,ROW('DM_TinhThanh'!$B$2:$B$35)-ROW('DM_TinhThanh'!$B$2)+1/ISNUMBER(SEARCH(SUBSTITUTE(UPPER($Q45)," ",""),'DM_TinhThanh'!$C$2:$C$35)),1)),"Không tìm thấy"))</f>
        <v/>
      </c>
      <c r="Y45" s="5">
        <f>IF($R45="","",IFERROR(INDEX('DM_XaPhuong'!$B$2:$B$169,AGGREGATE(15,6,ROW('DM_XaPhuong'!$B$2:$B$169)-ROW('DM_XaPhuong'!$B$2)+1/ISNUMBER(SEARCH(SUBSTITUTE(UPPER($R45)," ",""),'DM_XaPhuong'!$C$2:$C$169)),1)),"Không tìm thấy"))</f>
        <v/>
      </c>
      <c r="AB45" s="5">
        <f>IF($T45="","",IFERROR(INDEX('DM_NgheNghiep'!$B$2:$B$11,AGGREGATE(15,6,ROW('DM_NgheNghiep'!$B$2:$B$11)-ROW('DM_NgheNghiep'!$B$2)+1/ISNUMBER(SEARCH(SUBSTITUTE(UPPER($T45)," ",""),'DM_NgheNghiep'!$C$2:$C$11)),1)),"Không tìm thấy"))</f>
        <v/>
      </c>
      <c r="AD45" s="5">
        <f>IF($U45="","",IFERROR(INDEX('DM_NoiCongTac'!$B$2:$B$11,AGGREGATE(15,6,ROW('DM_NoiCongTac'!$B$2:$B$11)-ROW('DM_NoiCongTac'!$B$2)+1/ISNUMBER(SEARCH(SUBSTITUTE(UPPER($U45)," ",""),'DM_NoiCongTac'!$C$2:$C$11)),1)),"Không tìm thấy"))</f>
        <v/>
      </c>
      <c r="AF45" s="5">
        <f>IF($V45="","",IFERROR(INDEX('DM_XaPhuong'!$B$2:$B$169,AGGREGATE(15,6,ROW('DM_XaPhuong'!$B$2:$B$169)-ROW('DM_XaPhuong'!$B$2)+1/ISNUMBER(SEARCH(SUBSTITUTE(UPPER($V45)," ",""),'DM_XaPhuong'!$C$2:$C$169)),1)),"Không tìm thấy"))</f>
        <v/>
      </c>
    </row>
    <row r="46">
      <c r="C46" s="5">
        <f>IF($B46="","",IFERROR(INDEX('DM_DoiTuong'!$B$2:$B$19,AGGREGATE(15,6,ROW('DM_DoiTuong'!$B$2:$B$19)-ROW('DM_DoiTuong'!$B$2)+1/ISNUMBER(SEARCH(SUBSTITUTE(UPPER($B46)," ",""),'DM_DoiTuong'!$C$2:$C$19)),1)),"Không tìm thấy"))</f>
        <v/>
      </c>
      <c r="E46" s="5">
        <f>IF($C46="","",IFERROR(INDEX('DM_DiaDiemKham'!$B$2:$B$6,AGGREGATE(15,6,ROW('DM_DiaDiemKham'!$B$2:$B$6)-ROW('DM_DiaDiemKham'!$B$2)+1/ISNUMBER(SEARCH(SUBSTITUTE(UPPER($C46)," ",""),'DM_DiaDiemKham'!$C$2:$C$6)),1)),"Không tìm thấy"))</f>
        <v/>
      </c>
      <c r="G46" s="5">
        <f>IF($D46="","",IFERROR(INDEX('DM_HinhThucChiTra'!$B$2:$B$5,AGGREGATE(15,6,ROW('DM_HinhThucChiTra'!$B$2:$B$5)-ROW('DM_HinhThucChiTra'!$B$2)+1/ISNUMBER(SEARCH(SUBSTITUTE(UPPER($D46)," ",""),'DM_HinhThucChiTra'!$C$2:$C$5)),1)),"Không tìm thấy"))</f>
        <v/>
      </c>
      <c r="I46" s="5">
        <f>IF($E46="","",IFERROR(INDEX('DM_HinhThucKham'!$B$2:$B$3,AGGREGATE(15,6,ROW('DM_HinhThucKham'!$B$2:$B$3)-ROW('DM_HinhThucKham'!$B$2)+1/ISNUMBER(SEARCH(SUBSTITUTE(UPPER($E46)," ",""),'DM_HinhThucKham'!$C$2:$C$3)),1)),"Không tìm thấy"))</f>
        <v/>
      </c>
      <c r="P46" s="5">
        <f>IF($K46="","",IFERROR(INDEX('DM_DanToc'!$B$2:$B$78,AGGREGATE(15,6,ROW('DM_DanToc'!$B$2:$B$78)-ROW('DM_DanToc'!$B$2)+1/ISNUMBER(SEARCH(SUBSTITUTE(UPPER($K46)," ",""),'DM_DanToc'!$C$2:$C$78)),1)),"Không tìm thấy"))</f>
        <v/>
      </c>
      <c r="W46" s="5">
        <f>IF($Q46="","",IFERROR(INDEX('DM_TinhThanh'!$B$2:$B$35,AGGREGATE(15,6,ROW('DM_TinhThanh'!$B$2:$B$35)-ROW('DM_TinhThanh'!$B$2)+1/ISNUMBER(SEARCH(SUBSTITUTE(UPPER($Q46)," ",""),'DM_TinhThanh'!$C$2:$C$35)),1)),"Không tìm thấy"))</f>
        <v/>
      </c>
      <c r="Y46" s="5">
        <f>IF($R46="","",IFERROR(INDEX('DM_XaPhuong'!$B$2:$B$169,AGGREGATE(15,6,ROW('DM_XaPhuong'!$B$2:$B$169)-ROW('DM_XaPhuong'!$B$2)+1/ISNUMBER(SEARCH(SUBSTITUTE(UPPER($R46)," ",""),'DM_XaPhuong'!$C$2:$C$169)),1)),"Không tìm thấy"))</f>
        <v/>
      </c>
      <c r="AB46" s="5">
        <f>IF($T46="","",IFERROR(INDEX('DM_NgheNghiep'!$B$2:$B$11,AGGREGATE(15,6,ROW('DM_NgheNghiep'!$B$2:$B$11)-ROW('DM_NgheNghiep'!$B$2)+1/ISNUMBER(SEARCH(SUBSTITUTE(UPPER($T46)," ",""),'DM_NgheNghiep'!$C$2:$C$11)),1)),"Không tìm thấy"))</f>
        <v/>
      </c>
      <c r="AD46" s="5">
        <f>IF($U46="","",IFERROR(INDEX('DM_NoiCongTac'!$B$2:$B$11,AGGREGATE(15,6,ROW('DM_NoiCongTac'!$B$2:$B$11)-ROW('DM_NoiCongTac'!$B$2)+1/ISNUMBER(SEARCH(SUBSTITUTE(UPPER($U46)," ",""),'DM_NoiCongTac'!$C$2:$C$11)),1)),"Không tìm thấy"))</f>
        <v/>
      </c>
      <c r="AF46" s="5">
        <f>IF($V46="","",IFERROR(INDEX('DM_XaPhuong'!$B$2:$B$169,AGGREGATE(15,6,ROW('DM_XaPhuong'!$B$2:$B$169)-ROW('DM_XaPhuong'!$B$2)+1/ISNUMBER(SEARCH(SUBSTITUTE(UPPER($V46)," ",""),'DM_XaPhuong'!$C$2:$C$169)),1)),"Không tìm thấy"))</f>
        <v/>
      </c>
    </row>
    <row r="47">
      <c r="C47" s="5">
        <f>IF($B47="","",IFERROR(INDEX('DM_DoiTuong'!$B$2:$B$19,AGGREGATE(15,6,ROW('DM_DoiTuong'!$B$2:$B$19)-ROW('DM_DoiTuong'!$B$2)+1/ISNUMBER(SEARCH(SUBSTITUTE(UPPER($B47)," ",""),'DM_DoiTuong'!$C$2:$C$19)),1)),"Không tìm thấy"))</f>
        <v/>
      </c>
      <c r="E47" s="5">
        <f>IF($C47="","",IFERROR(INDEX('DM_DiaDiemKham'!$B$2:$B$6,AGGREGATE(15,6,ROW('DM_DiaDiemKham'!$B$2:$B$6)-ROW('DM_DiaDiemKham'!$B$2)+1/ISNUMBER(SEARCH(SUBSTITUTE(UPPER($C47)," ",""),'DM_DiaDiemKham'!$C$2:$C$6)),1)),"Không tìm thấy"))</f>
        <v/>
      </c>
      <c r="G47" s="5">
        <f>IF($D47="","",IFERROR(INDEX('DM_HinhThucChiTra'!$B$2:$B$5,AGGREGATE(15,6,ROW('DM_HinhThucChiTra'!$B$2:$B$5)-ROW('DM_HinhThucChiTra'!$B$2)+1/ISNUMBER(SEARCH(SUBSTITUTE(UPPER($D47)," ",""),'DM_HinhThucChiTra'!$C$2:$C$5)),1)),"Không tìm thấy"))</f>
        <v/>
      </c>
      <c r="I47" s="5">
        <f>IF($E47="","",IFERROR(INDEX('DM_HinhThucKham'!$B$2:$B$3,AGGREGATE(15,6,ROW('DM_HinhThucKham'!$B$2:$B$3)-ROW('DM_HinhThucKham'!$B$2)+1/ISNUMBER(SEARCH(SUBSTITUTE(UPPER($E47)," ",""),'DM_HinhThucKham'!$C$2:$C$3)),1)),"Không tìm thấy"))</f>
        <v/>
      </c>
      <c r="P47" s="5">
        <f>IF($K47="","",IFERROR(INDEX('DM_DanToc'!$B$2:$B$78,AGGREGATE(15,6,ROW('DM_DanToc'!$B$2:$B$78)-ROW('DM_DanToc'!$B$2)+1/ISNUMBER(SEARCH(SUBSTITUTE(UPPER($K47)," ",""),'DM_DanToc'!$C$2:$C$78)),1)),"Không tìm thấy"))</f>
        <v/>
      </c>
      <c r="W47" s="5">
        <f>IF($Q47="","",IFERROR(INDEX('DM_TinhThanh'!$B$2:$B$35,AGGREGATE(15,6,ROW('DM_TinhThanh'!$B$2:$B$35)-ROW('DM_TinhThanh'!$B$2)+1/ISNUMBER(SEARCH(SUBSTITUTE(UPPER($Q47)," ",""),'DM_TinhThanh'!$C$2:$C$35)),1)),"Không tìm thấy"))</f>
        <v/>
      </c>
      <c r="Y47" s="5">
        <f>IF($R47="","",IFERROR(INDEX('DM_XaPhuong'!$B$2:$B$169,AGGREGATE(15,6,ROW('DM_XaPhuong'!$B$2:$B$169)-ROW('DM_XaPhuong'!$B$2)+1/ISNUMBER(SEARCH(SUBSTITUTE(UPPER($R47)," ",""),'DM_XaPhuong'!$C$2:$C$169)),1)),"Không tìm thấy"))</f>
        <v/>
      </c>
      <c r="AB47" s="5">
        <f>IF($T47="","",IFERROR(INDEX('DM_NgheNghiep'!$B$2:$B$11,AGGREGATE(15,6,ROW('DM_NgheNghiep'!$B$2:$B$11)-ROW('DM_NgheNghiep'!$B$2)+1/ISNUMBER(SEARCH(SUBSTITUTE(UPPER($T47)," ",""),'DM_NgheNghiep'!$C$2:$C$11)),1)),"Không tìm thấy"))</f>
        <v/>
      </c>
      <c r="AD47" s="5">
        <f>IF($U47="","",IFERROR(INDEX('DM_NoiCongTac'!$B$2:$B$11,AGGREGATE(15,6,ROW('DM_NoiCongTac'!$B$2:$B$11)-ROW('DM_NoiCongTac'!$B$2)+1/ISNUMBER(SEARCH(SUBSTITUTE(UPPER($U47)," ",""),'DM_NoiCongTac'!$C$2:$C$11)),1)),"Không tìm thấy"))</f>
        <v/>
      </c>
      <c r="AF47" s="5">
        <f>IF($V47="","",IFERROR(INDEX('DM_XaPhuong'!$B$2:$B$169,AGGREGATE(15,6,ROW('DM_XaPhuong'!$B$2:$B$169)-ROW('DM_XaPhuong'!$B$2)+1/ISNUMBER(SEARCH(SUBSTITUTE(UPPER($V47)," ",""),'DM_XaPhuong'!$C$2:$C$169)),1)),"Không tìm thấy"))</f>
        <v/>
      </c>
    </row>
    <row r="48">
      <c r="C48" s="5">
        <f>IF($B48="","",IFERROR(INDEX('DM_DoiTuong'!$B$2:$B$19,AGGREGATE(15,6,ROW('DM_DoiTuong'!$B$2:$B$19)-ROW('DM_DoiTuong'!$B$2)+1/ISNUMBER(SEARCH(SUBSTITUTE(UPPER($B48)," ",""),'DM_DoiTuong'!$C$2:$C$19)),1)),"Không tìm thấy"))</f>
        <v/>
      </c>
      <c r="E48" s="5">
        <f>IF($C48="","",IFERROR(INDEX('DM_DiaDiemKham'!$B$2:$B$6,AGGREGATE(15,6,ROW('DM_DiaDiemKham'!$B$2:$B$6)-ROW('DM_DiaDiemKham'!$B$2)+1/ISNUMBER(SEARCH(SUBSTITUTE(UPPER($C48)," ",""),'DM_DiaDiemKham'!$C$2:$C$6)),1)),"Không tìm thấy"))</f>
        <v/>
      </c>
      <c r="G48" s="5">
        <f>IF($D48="","",IFERROR(INDEX('DM_HinhThucChiTra'!$B$2:$B$5,AGGREGATE(15,6,ROW('DM_HinhThucChiTra'!$B$2:$B$5)-ROW('DM_HinhThucChiTra'!$B$2)+1/ISNUMBER(SEARCH(SUBSTITUTE(UPPER($D48)," ",""),'DM_HinhThucChiTra'!$C$2:$C$5)),1)),"Không tìm thấy"))</f>
        <v/>
      </c>
      <c r="I48" s="5">
        <f>IF($E48="","",IFERROR(INDEX('DM_HinhThucKham'!$B$2:$B$3,AGGREGATE(15,6,ROW('DM_HinhThucKham'!$B$2:$B$3)-ROW('DM_HinhThucKham'!$B$2)+1/ISNUMBER(SEARCH(SUBSTITUTE(UPPER($E48)," ",""),'DM_HinhThucKham'!$C$2:$C$3)),1)),"Không tìm thấy"))</f>
        <v/>
      </c>
      <c r="P48" s="5">
        <f>IF($K48="","",IFERROR(INDEX('DM_DanToc'!$B$2:$B$78,AGGREGATE(15,6,ROW('DM_DanToc'!$B$2:$B$78)-ROW('DM_DanToc'!$B$2)+1/ISNUMBER(SEARCH(SUBSTITUTE(UPPER($K48)," ",""),'DM_DanToc'!$C$2:$C$78)),1)),"Không tìm thấy"))</f>
        <v/>
      </c>
      <c r="W48" s="5">
        <f>IF($Q48="","",IFERROR(INDEX('DM_TinhThanh'!$B$2:$B$35,AGGREGATE(15,6,ROW('DM_TinhThanh'!$B$2:$B$35)-ROW('DM_TinhThanh'!$B$2)+1/ISNUMBER(SEARCH(SUBSTITUTE(UPPER($Q48)," ",""),'DM_TinhThanh'!$C$2:$C$35)),1)),"Không tìm thấy"))</f>
        <v/>
      </c>
      <c r="Y48" s="5">
        <f>IF($R48="","",IFERROR(INDEX('DM_XaPhuong'!$B$2:$B$169,AGGREGATE(15,6,ROW('DM_XaPhuong'!$B$2:$B$169)-ROW('DM_XaPhuong'!$B$2)+1/ISNUMBER(SEARCH(SUBSTITUTE(UPPER($R48)," ",""),'DM_XaPhuong'!$C$2:$C$169)),1)),"Không tìm thấy"))</f>
        <v/>
      </c>
      <c r="AB48" s="5">
        <f>IF($T48="","",IFERROR(INDEX('DM_NgheNghiep'!$B$2:$B$11,AGGREGATE(15,6,ROW('DM_NgheNghiep'!$B$2:$B$11)-ROW('DM_NgheNghiep'!$B$2)+1/ISNUMBER(SEARCH(SUBSTITUTE(UPPER($T48)," ",""),'DM_NgheNghiep'!$C$2:$C$11)),1)),"Không tìm thấy"))</f>
        <v/>
      </c>
      <c r="AD48" s="5">
        <f>IF($U48="","",IFERROR(INDEX('DM_NoiCongTac'!$B$2:$B$11,AGGREGATE(15,6,ROW('DM_NoiCongTac'!$B$2:$B$11)-ROW('DM_NoiCongTac'!$B$2)+1/ISNUMBER(SEARCH(SUBSTITUTE(UPPER($U48)," ",""),'DM_NoiCongTac'!$C$2:$C$11)),1)),"Không tìm thấy"))</f>
        <v/>
      </c>
      <c r="AF48" s="5">
        <f>IF($V48="","",IFERROR(INDEX('DM_XaPhuong'!$B$2:$B$169,AGGREGATE(15,6,ROW('DM_XaPhuong'!$B$2:$B$169)-ROW('DM_XaPhuong'!$B$2)+1/ISNUMBER(SEARCH(SUBSTITUTE(UPPER($V48)," ",""),'DM_XaPhuong'!$C$2:$C$169)),1)),"Không tìm thấy"))</f>
        <v/>
      </c>
    </row>
    <row r="49">
      <c r="C49" s="5">
        <f>IF($B49="","",IFERROR(INDEX('DM_DoiTuong'!$B$2:$B$19,AGGREGATE(15,6,ROW('DM_DoiTuong'!$B$2:$B$19)-ROW('DM_DoiTuong'!$B$2)+1/ISNUMBER(SEARCH(SUBSTITUTE(UPPER($B49)," ",""),'DM_DoiTuong'!$C$2:$C$19)),1)),"Không tìm thấy"))</f>
        <v/>
      </c>
      <c r="E49" s="5">
        <f>IF($C49="","",IFERROR(INDEX('DM_DiaDiemKham'!$B$2:$B$6,AGGREGATE(15,6,ROW('DM_DiaDiemKham'!$B$2:$B$6)-ROW('DM_DiaDiemKham'!$B$2)+1/ISNUMBER(SEARCH(SUBSTITUTE(UPPER($C49)," ",""),'DM_DiaDiemKham'!$C$2:$C$6)),1)),"Không tìm thấy"))</f>
        <v/>
      </c>
      <c r="G49" s="5">
        <f>IF($D49="","",IFERROR(INDEX('DM_HinhThucChiTra'!$B$2:$B$5,AGGREGATE(15,6,ROW('DM_HinhThucChiTra'!$B$2:$B$5)-ROW('DM_HinhThucChiTra'!$B$2)+1/ISNUMBER(SEARCH(SUBSTITUTE(UPPER($D49)," ",""),'DM_HinhThucChiTra'!$C$2:$C$5)),1)),"Không tìm thấy"))</f>
        <v/>
      </c>
      <c r="I49" s="5">
        <f>IF($E49="","",IFERROR(INDEX('DM_HinhThucKham'!$B$2:$B$3,AGGREGATE(15,6,ROW('DM_HinhThucKham'!$B$2:$B$3)-ROW('DM_HinhThucKham'!$B$2)+1/ISNUMBER(SEARCH(SUBSTITUTE(UPPER($E49)," ",""),'DM_HinhThucKham'!$C$2:$C$3)),1)),"Không tìm thấy"))</f>
        <v/>
      </c>
      <c r="P49" s="5">
        <f>IF($K49="","",IFERROR(INDEX('DM_DanToc'!$B$2:$B$78,AGGREGATE(15,6,ROW('DM_DanToc'!$B$2:$B$78)-ROW('DM_DanToc'!$B$2)+1/ISNUMBER(SEARCH(SUBSTITUTE(UPPER($K49)," ",""),'DM_DanToc'!$C$2:$C$78)),1)),"Không tìm thấy"))</f>
        <v/>
      </c>
      <c r="W49" s="5">
        <f>IF($Q49="","",IFERROR(INDEX('DM_TinhThanh'!$B$2:$B$35,AGGREGATE(15,6,ROW('DM_TinhThanh'!$B$2:$B$35)-ROW('DM_TinhThanh'!$B$2)+1/ISNUMBER(SEARCH(SUBSTITUTE(UPPER($Q49)," ",""),'DM_TinhThanh'!$C$2:$C$35)),1)),"Không tìm thấy"))</f>
        <v/>
      </c>
      <c r="Y49" s="5">
        <f>IF($R49="","",IFERROR(INDEX('DM_XaPhuong'!$B$2:$B$169,AGGREGATE(15,6,ROW('DM_XaPhuong'!$B$2:$B$169)-ROW('DM_XaPhuong'!$B$2)+1/ISNUMBER(SEARCH(SUBSTITUTE(UPPER($R49)," ",""),'DM_XaPhuong'!$C$2:$C$169)),1)),"Không tìm thấy"))</f>
        <v/>
      </c>
      <c r="AB49" s="5">
        <f>IF($T49="","",IFERROR(INDEX('DM_NgheNghiep'!$B$2:$B$11,AGGREGATE(15,6,ROW('DM_NgheNghiep'!$B$2:$B$11)-ROW('DM_NgheNghiep'!$B$2)+1/ISNUMBER(SEARCH(SUBSTITUTE(UPPER($T49)," ",""),'DM_NgheNghiep'!$C$2:$C$11)),1)),"Không tìm thấy"))</f>
        <v/>
      </c>
      <c r="AD49" s="5">
        <f>IF($U49="","",IFERROR(INDEX('DM_NoiCongTac'!$B$2:$B$11,AGGREGATE(15,6,ROW('DM_NoiCongTac'!$B$2:$B$11)-ROW('DM_NoiCongTac'!$B$2)+1/ISNUMBER(SEARCH(SUBSTITUTE(UPPER($U49)," ",""),'DM_NoiCongTac'!$C$2:$C$11)),1)),"Không tìm thấy"))</f>
        <v/>
      </c>
      <c r="AF49" s="5">
        <f>IF($V49="","",IFERROR(INDEX('DM_XaPhuong'!$B$2:$B$169,AGGREGATE(15,6,ROW('DM_XaPhuong'!$B$2:$B$169)-ROW('DM_XaPhuong'!$B$2)+1/ISNUMBER(SEARCH(SUBSTITUTE(UPPER($V49)," ",""),'DM_XaPhuong'!$C$2:$C$169)),1)),"Không tìm thấy"))</f>
        <v/>
      </c>
    </row>
    <row r="50">
      <c r="C50" s="5">
        <f>IF($B50="","",IFERROR(INDEX('DM_DoiTuong'!$B$2:$B$19,AGGREGATE(15,6,ROW('DM_DoiTuong'!$B$2:$B$19)-ROW('DM_DoiTuong'!$B$2)+1/ISNUMBER(SEARCH(SUBSTITUTE(UPPER($B50)," ",""),'DM_DoiTuong'!$C$2:$C$19)),1)),"Không tìm thấy"))</f>
        <v/>
      </c>
      <c r="E50" s="5">
        <f>IF($C50="","",IFERROR(INDEX('DM_DiaDiemKham'!$B$2:$B$6,AGGREGATE(15,6,ROW('DM_DiaDiemKham'!$B$2:$B$6)-ROW('DM_DiaDiemKham'!$B$2)+1/ISNUMBER(SEARCH(SUBSTITUTE(UPPER($C50)," ",""),'DM_DiaDiemKham'!$C$2:$C$6)),1)),"Không tìm thấy"))</f>
        <v/>
      </c>
      <c r="G50" s="5">
        <f>IF($D50="","",IFERROR(INDEX('DM_HinhThucChiTra'!$B$2:$B$5,AGGREGATE(15,6,ROW('DM_HinhThucChiTra'!$B$2:$B$5)-ROW('DM_HinhThucChiTra'!$B$2)+1/ISNUMBER(SEARCH(SUBSTITUTE(UPPER($D50)," ",""),'DM_HinhThucChiTra'!$C$2:$C$5)),1)),"Không tìm thấy"))</f>
        <v/>
      </c>
      <c r="I50" s="5">
        <f>IF($E50="","",IFERROR(INDEX('DM_HinhThucKham'!$B$2:$B$3,AGGREGATE(15,6,ROW('DM_HinhThucKham'!$B$2:$B$3)-ROW('DM_HinhThucKham'!$B$2)+1/ISNUMBER(SEARCH(SUBSTITUTE(UPPER($E50)," ",""),'DM_HinhThucKham'!$C$2:$C$3)),1)),"Không tìm thấy"))</f>
        <v/>
      </c>
      <c r="P50" s="5">
        <f>IF($K50="","",IFERROR(INDEX('DM_DanToc'!$B$2:$B$78,AGGREGATE(15,6,ROW('DM_DanToc'!$B$2:$B$78)-ROW('DM_DanToc'!$B$2)+1/ISNUMBER(SEARCH(SUBSTITUTE(UPPER($K50)," ",""),'DM_DanToc'!$C$2:$C$78)),1)),"Không tìm thấy"))</f>
        <v/>
      </c>
      <c r="W50" s="5">
        <f>IF($Q50="","",IFERROR(INDEX('DM_TinhThanh'!$B$2:$B$35,AGGREGATE(15,6,ROW('DM_TinhThanh'!$B$2:$B$35)-ROW('DM_TinhThanh'!$B$2)+1/ISNUMBER(SEARCH(SUBSTITUTE(UPPER($Q50)," ",""),'DM_TinhThanh'!$C$2:$C$35)),1)),"Không tìm thấy"))</f>
        <v/>
      </c>
      <c r="Y50" s="5">
        <f>IF($R50="","",IFERROR(INDEX('DM_XaPhuong'!$B$2:$B$169,AGGREGATE(15,6,ROW('DM_XaPhuong'!$B$2:$B$169)-ROW('DM_XaPhuong'!$B$2)+1/ISNUMBER(SEARCH(SUBSTITUTE(UPPER($R50)," ",""),'DM_XaPhuong'!$C$2:$C$169)),1)),"Không tìm thấy"))</f>
        <v/>
      </c>
      <c r="AB50" s="5">
        <f>IF($T50="","",IFERROR(INDEX('DM_NgheNghiep'!$B$2:$B$11,AGGREGATE(15,6,ROW('DM_NgheNghiep'!$B$2:$B$11)-ROW('DM_NgheNghiep'!$B$2)+1/ISNUMBER(SEARCH(SUBSTITUTE(UPPER($T50)," ",""),'DM_NgheNghiep'!$C$2:$C$11)),1)),"Không tìm thấy"))</f>
        <v/>
      </c>
      <c r="AD50" s="5">
        <f>IF($U50="","",IFERROR(INDEX('DM_NoiCongTac'!$B$2:$B$11,AGGREGATE(15,6,ROW('DM_NoiCongTac'!$B$2:$B$11)-ROW('DM_NoiCongTac'!$B$2)+1/ISNUMBER(SEARCH(SUBSTITUTE(UPPER($U50)," ",""),'DM_NoiCongTac'!$C$2:$C$11)),1)),"Không tìm thấy"))</f>
        <v/>
      </c>
      <c r="AF50" s="5">
        <f>IF($V50="","",IFERROR(INDEX('DM_XaPhuong'!$B$2:$B$169,AGGREGATE(15,6,ROW('DM_XaPhuong'!$B$2:$B$169)-ROW('DM_XaPhuong'!$B$2)+1/ISNUMBER(SEARCH(SUBSTITUTE(UPPER($V50)," ",""),'DM_XaPhuong'!$C$2:$C$169)),1)),"Không tìm thấy"))</f>
        <v/>
      </c>
    </row>
    <row r="51">
      <c r="C51" s="5">
        <f>IF($B51="","",IFERROR(INDEX('DM_DoiTuong'!$B$2:$B$19,AGGREGATE(15,6,ROW('DM_DoiTuong'!$B$2:$B$19)-ROW('DM_DoiTuong'!$B$2)+1/ISNUMBER(SEARCH(SUBSTITUTE(UPPER($B51)," ",""),'DM_DoiTuong'!$C$2:$C$19)),1)),"Không tìm thấy"))</f>
        <v/>
      </c>
      <c r="E51" s="5">
        <f>IF($C51="","",IFERROR(INDEX('DM_DiaDiemKham'!$B$2:$B$6,AGGREGATE(15,6,ROW('DM_DiaDiemKham'!$B$2:$B$6)-ROW('DM_DiaDiemKham'!$B$2)+1/ISNUMBER(SEARCH(SUBSTITUTE(UPPER($C51)," ",""),'DM_DiaDiemKham'!$C$2:$C$6)),1)),"Không tìm thấy"))</f>
        <v/>
      </c>
      <c r="G51" s="5">
        <f>IF($D51="","",IFERROR(INDEX('DM_HinhThucChiTra'!$B$2:$B$5,AGGREGATE(15,6,ROW('DM_HinhThucChiTra'!$B$2:$B$5)-ROW('DM_HinhThucChiTra'!$B$2)+1/ISNUMBER(SEARCH(SUBSTITUTE(UPPER($D51)," ",""),'DM_HinhThucChiTra'!$C$2:$C$5)),1)),"Không tìm thấy"))</f>
        <v/>
      </c>
      <c r="I51" s="5">
        <f>IF($E51="","",IFERROR(INDEX('DM_HinhThucKham'!$B$2:$B$3,AGGREGATE(15,6,ROW('DM_HinhThucKham'!$B$2:$B$3)-ROW('DM_HinhThucKham'!$B$2)+1/ISNUMBER(SEARCH(SUBSTITUTE(UPPER($E51)," ",""),'DM_HinhThucKham'!$C$2:$C$3)),1)),"Không tìm thấy"))</f>
        <v/>
      </c>
      <c r="P51" s="5">
        <f>IF($K51="","",IFERROR(INDEX('DM_DanToc'!$B$2:$B$78,AGGREGATE(15,6,ROW('DM_DanToc'!$B$2:$B$78)-ROW('DM_DanToc'!$B$2)+1/ISNUMBER(SEARCH(SUBSTITUTE(UPPER($K51)," ",""),'DM_DanToc'!$C$2:$C$78)),1)),"Không tìm thấy"))</f>
        <v/>
      </c>
      <c r="W51" s="5">
        <f>IF($Q51="","",IFERROR(INDEX('DM_TinhThanh'!$B$2:$B$35,AGGREGATE(15,6,ROW('DM_TinhThanh'!$B$2:$B$35)-ROW('DM_TinhThanh'!$B$2)+1/ISNUMBER(SEARCH(SUBSTITUTE(UPPER($Q51)," ",""),'DM_TinhThanh'!$C$2:$C$35)),1)),"Không tìm thấy"))</f>
        <v/>
      </c>
      <c r="Y51" s="5">
        <f>IF($R51="","",IFERROR(INDEX('DM_XaPhuong'!$B$2:$B$169,AGGREGATE(15,6,ROW('DM_XaPhuong'!$B$2:$B$169)-ROW('DM_XaPhuong'!$B$2)+1/ISNUMBER(SEARCH(SUBSTITUTE(UPPER($R51)," ",""),'DM_XaPhuong'!$C$2:$C$169)),1)),"Không tìm thấy"))</f>
        <v/>
      </c>
      <c r="AB51" s="5">
        <f>IF($T51="","",IFERROR(INDEX('DM_NgheNghiep'!$B$2:$B$11,AGGREGATE(15,6,ROW('DM_NgheNghiep'!$B$2:$B$11)-ROW('DM_NgheNghiep'!$B$2)+1/ISNUMBER(SEARCH(SUBSTITUTE(UPPER($T51)," ",""),'DM_NgheNghiep'!$C$2:$C$11)),1)),"Không tìm thấy"))</f>
        <v/>
      </c>
      <c r="AD51" s="5">
        <f>IF($U51="","",IFERROR(INDEX('DM_NoiCongTac'!$B$2:$B$11,AGGREGATE(15,6,ROW('DM_NoiCongTac'!$B$2:$B$11)-ROW('DM_NoiCongTac'!$B$2)+1/ISNUMBER(SEARCH(SUBSTITUTE(UPPER($U51)," ",""),'DM_NoiCongTac'!$C$2:$C$11)),1)),"Không tìm thấy"))</f>
        <v/>
      </c>
      <c r="AF51" s="5">
        <f>IF($V51="","",IFERROR(INDEX('DM_XaPhuong'!$B$2:$B$169,AGGREGATE(15,6,ROW('DM_XaPhuong'!$B$2:$B$169)-ROW('DM_XaPhuong'!$B$2)+1/ISNUMBER(SEARCH(SUBSTITUTE(UPPER($V51)," ",""),'DM_XaPhuong'!$C$2:$C$169)),1)),"Không tìm thấy"))</f>
        <v/>
      </c>
    </row>
    <row r="52">
      <c r="C52" s="5">
        <f>IF($B52="","",IFERROR(INDEX('DM_DoiTuong'!$B$2:$B$19,AGGREGATE(15,6,ROW('DM_DoiTuong'!$B$2:$B$19)-ROW('DM_DoiTuong'!$B$2)+1/ISNUMBER(SEARCH(SUBSTITUTE(UPPER($B52)," ",""),'DM_DoiTuong'!$C$2:$C$19)),1)),"Không tìm thấy"))</f>
        <v/>
      </c>
      <c r="E52" s="5">
        <f>IF($C52="","",IFERROR(INDEX('DM_DiaDiemKham'!$B$2:$B$6,AGGREGATE(15,6,ROW('DM_DiaDiemKham'!$B$2:$B$6)-ROW('DM_DiaDiemKham'!$B$2)+1/ISNUMBER(SEARCH(SUBSTITUTE(UPPER($C52)," ",""),'DM_DiaDiemKham'!$C$2:$C$6)),1)),"Không tìm thấy"))</f>
        <v/>
      </c>
      <c r="G52" s="5">
        <f>IF($D52="","",IFERROR(INDEX('DM_HinhThucChiTra'!$B$2:$B$5,AGGREGATE(15,6,ROW('DM_HinhThucChiTra'!$B$2:$B$5)-ROW('DM_HinhThucChiTra'!$B$2)+1/ISNUMBER(SEARCH(SUBSTITUTE(UPPER($D52)," ",""),'DM_HinhThucChiTra'!$C$2:$C$5)),1)),"Không tìm thấy"))</f>
        <v/>
      </c>
      <c r="I52" s="5">
        <f>IF($E52="","",IFERROR(INDEX('DM_HinhThucKham'!$B$2:$B$3,AGGREGATE(15,6,ROW('DM_HinhThucKham'!$B$2:$B$3)-ROW('DM_HinhThucKham'!$B$2)+1/ISNUMBER(SEARCH(SUBSTITUTE(UPPER($E52)," ",""),'DM_HinhThucKham'!$C$2:$C$3)),1)),"Không tìm thấy"))</f>
        <v/>
      </c>
      <c r="P52" s="5">
        <f>IF($K52="","",IFERROR(INDEX('DM_DanToc'!$B$2:$B$78,AGGREGATE(15,6,ROW('DM_DanToc'!$B$2:$B$78)-ROW('DM_DanToc'!$B$2)+1/ISNUMBER(SEARCH(SUBSTITUTE(UPPER($K52)," ",""),'DM_DanToc'!$C$2:$C$78)),1)),"Không tìm thấy"))</f>
        <v/>
      </c>
      <c r="W52" s="5">
        <f>IF($Q52="","",IFERROR(INDEX('DM_TinhThanh'!$B$2:$B$35,AGGREGATE(15,6,ROW('DM_TinhThanh'!$B$2:$B$35)-ROW('DM_TinhThanh'!$B$2)+1/ISNUMBER(SEARCH(SUBSTITUTE(UPPER($Q52)," ",""),'DM_TinhThanh'!$C$2:$C$35)),1)),"Không tìm thấy"))</f>
        <v/>
      </c>
      <c r="Y52" s="5">
        <f>IF($R52="","",IFERROR(INDEX('DM_XaPhuong'!$B$2:$B$169,AGGREGATE(15,6,ROW('DM_XaPhuong'!$B$2:$B$169)-ROW('DM_XaPhuong'!$B$2)+1/ISNUMBER(SEARCH(SUBSTITUTE(UPPER($R52)," ",""),'DM_XaPhuong'!$C$2:$C$169)),1)),"Không tìm thấy"))</f>
        <v/>
      </c>
      <c r="AB52" s="5">
        <f>IF($T52="","",IFERROR(INDEX('DM_NgheNghiep'!$B$2:$B$11,AGGREGATE(15,6,ROW('DM_NgheNghiep'!$B$2:$B$11)-ROW('DM_NgheNghiep'!$B$2)+1/ISNUMBER(SEARCH(SUBSTITUTE(UPPER($T52)," ",""),'DM_NgheNghiep'!$C$2:$C$11)),1)),"Không tìm thấy"))</f>
        <v/>
      </c>
      <c r="AD52" s="5">
        <f>IF($U52="","",IFERROR(INDEX('DM_NoiCongTac'!$B$2:$B$11,AGGREGATE(15,6,ROW('DM_NoiCongTac'!$B$2:$B$11)-ROW('DM_NoiCongTac'!$B$2)+1/ISNUMBER(SEARCH(SUBSTITUTE(UPPER($U52)," ",""),'DM_NoiCongTac'!$C$2:$C$11)),1)),"Không tìm thấy"))</f>
        <v/>
      </c>
      <c r="AF52" s="5">
        <f>IF($V52="","",IFERROR(INDEX('DM_XaPhuong'!$B$2:$B$169,AGGREGATE(15,6,ROW('DM_XaPhuong'!$B$2:$B$169)-ROW('DM_XaPhuong'!$B$2)+1/ISNUMBER(SEARCH(SUBSTITUTE(UPPER($V52)," ",""),'DM_XaPhuong'!$C$2:$C$169)),1)),"Không tìm thấy"))</f>
        <v/>
      </c>
    </row>
    <row r="53">
      <c r="C53" s="5">
        <f>IF($B53="","",IFERROR(INDEX('DM_DoiTuong'!$B$2:$B$19,AGGREGATE(15,6,ROW('DM_DoiTuong'!$B$2:$B$19)-ROW('DM_DoiTuong'!$B$2)+1/ISNUMBER(SEARCH(SUBSTITUTE(UPPER($B53)," ",""),'DM_DoiTuong'!$C$2:$C$19)),1)),"Không tìm thấy"))</f>
        <v/>
      </c>
      <c r="E53" s="5">
        <f>IF($C53="","",IFERROR(INDEX('DM_DiaDiemKham'!$B$2:$B$6,AGGREGATE(15,6,ROW('DM_DiaDiemKham'!$B$2:$B$6)-ROW('DM_DiaDiemKham'!$B$2)+1/ISNUMBER(SEARCH(SUBSTITUTE(UPPER($C53)," ",""),'DM_DiaDiemKham'!$C$2:$C$6)),1)),"Không tìm thấy"))</f>
        <v/>
      </c>
      <c r="G53" s="5">
        <f>IF($D53="","",IFERROR(INDEX('DM_HinhThucChiTra'!$B$2:$B$5,AGGREGATE(15,6,ROW('DM_HinhThucChiTra'!$B$2:$B$5)-ROW('DM_HinhThucChiTra'!$B$2)+1/ISNUMBER(SEARCH(SUBSTITUTE(UPPER($D53)," ",""),'DM_HinhThucChiTra'!$C$2:$C$5)),1)),"Không tìm thấy"))</f>
        <v/>
      </c>
      <c r="I53" s="5">
        <f>IF($E53="","",IFERROR(INDEX('DM_HinhThucKham'!$B$2:$B$3,AGGREGATE(15,6,ROW('DM_HinhThucKham'!$B$2:$B$3)-ROW('DM_HinhThucKham'!$B$2)+1/ISNUMBER(SEARCH(SUBSTITUTE(UPPER($E53)," ",""),'DM_HinhThucKham'!$C$2:$C$3)),1)),"Không tìm thấy"))</f>
        <v/>
      </c>
      <c r="P53" s="5">
        <f>IF($K53="","",IFERROR(INDEX('DM_DanToc'!$B$2:$B$78,AGGREGATE(15,6,ROW('DM_DanToc'!$B$2:$B$78)-ROW('DM_DanToc'!$B$2)+1/ISNUMBER(SEARCH(SUBSTITUTE(UPPER($K53)," ",""),'DM_DanToc'!$C$2:$C$78)),1)),"Không tìm thấy"))</f>
        <v/>
      </c>
      <c r="W53" s="5">
        <f>IF($Q53="","",IFERROR(INDEX('DM_TinhThanh'!$B$2:$B$35,AGGREGATE(15,6,ROW('DM_TinhThanh'!$B$2:$B$35)-ROW('DM_TinhThanh'!$B$2)+1/ISNUMBER(SEARCH(SUBSTITUTE(UPPER($Q53)," ",""),'DM_TinhThanh'!$C$2:$C$35)),1)),"Không tìm thấy"))</f>
        <v/>
      </c>
      <c r="Y53" s="5">
        <f>IF($R53="","",IFERROR(INDEX('DM_XaPhuong'!$B$2:$B$169,AGGREGATE(15,6,ROW('DM_XaPhuong'!$B$2:$B$169)-ROW('DM_XaPhuong'!$B$2)+1/ISNUMBER(SEARCH(SUBSTITUTE(UPPER($R53)," ",""),'DM_XaPhuong'!$C$2:$C$169)),1)),"Không tìm thấy"))</f>
        <v/>
      </c>
      <c r="AB53" s="5">
        <f>IF($T53="","",IFERROR(INDEX('DM_NgheNghiep'!$B$2:$B$11,AGGREGATE(15,6,ROW('DM_NgheNghiep'!$B$2:$B$11)-ROW('DM_NgheNghiep'!$B$2)+1/ISNUMBER(SEARCH(SUBSTITUTE(UPPER($T53)," ",""),'DM_NgheNghiep'!$C$2:$C$11)),1)),"Không tìm thấy"))</f>
        <v/>
      </c>
      <c r="AD53" s="5">
        <f>IF($U53="","",IFERROR(INDEX('DM_NoiCongTac'!$B$2:$B$11,AGGREGATE(15,6,ROW('DM_NoiCongTac'!$B$2:$B$11)-ROW('DM_NoiCongTac'!$B$2)+1/ISNUMBER(SEARCH(SUBSTITUTE(UPPER($U53)," ",""),'DM_NoiCongTac'!$C$2:$C$11)),1)),"Không tìm thấy"))</f>
        <v/>
      </c>
      <c r="AF53" s="5">
        <f>IF($V53="","",IFERROR(INDEX('DM_XaPhuong'!$B$2:$B$169,AGGREGATE(15,6,ROW('DM_XaPhuong'!$B$2:$B$169)-ROW('DM_XaPhuong'!$B$2)+1/ISNUMBER(SEARCH(SUBSTITUTE(UPPER($V53)," ",""),'DM_XaPhuong'!$C$2:$C$169)),1)),"Không tìm thấy"))</f>
        <v/>
      </c>
    </row>
    <row r="54">
      <c r="C54" s="5">
        <f>IF($B54="","",IFERROR(INDEX('DM_DoiTuong'!$B$2:$B$19,AGGREGATE(15,6,ROW('DM_DoiTuong'!$B$2:$B$19)-ROW('DM_DoiTuong'!$B$2)+1/ISNUMBER(SEARCH(SUBSTITUTE(UPPER($B54)," ",""),'DM_DoiTuong'!$C$2:$C$19)),1)),"Không tìm thấy"))</f>
        <v/>
      </c>
      <c r="E54" s="5">
        <f>IF($C54="","",IFERROR(INDEX('DM_DiaDiemKham'!$B$2:$B$6,AGGREGATE(15,6,ROW('DM_DiaDiemKham'!$B$2:$B$6)-ROW('DM_DiaDiemKham'!$B$2)+1/ISNUMBER(SEARCH(SUBSTITUTE(UPPER($C54)," ",""),'DM_DiaDiemKham'!$C$2:$C$6)),1)),"Không tìm thấy"))</f>
        <v/>
      </c>
      <c r="G54" s="5">
        <f>IF($D54="","",IFERROR(INDEX('DM_HinhThucChiTra'!$B$2:$B$5,AGGREGATE(15,6,ROW('DM_HinhThucChiTra'!$B$2:$B$5)-ROW('DM_HinhThucChiTra'!$B$2)+1/ISNUMBER(SEARCH(SUBSTITUTE(UPPER($D54)," ",""),'DM_HinhThucChiTra'!$C$2:$C$5)),1)),"Không tìm thấy"))</f>
        <v/>
      </c>
      <c r="I54" s="5">
        <f>IF($E54="","",IFERROR(INDEX('DM_HinhThucKham'!$B$2:$B$3,AGGREGATE(15,6,ROW('DM_HinhThucKham'!$B$2:$B$3)-ROW('DM_HinhThucKham'!$B$2)+1/ISNUMBER(SEARCH(SUBSTITUTE(UPPER($E54)," ",""),'DM_HinhThucKham'!$C$2:$C$3)),1)),"Không tìm thấy"))</f>
        <v/>
      </c>
      <c r="P54" s="5">
        <f>IF($K54="","",IFERROR(INDEX('DM_DanToc'!$B$2:$B$78,AGGREGATE(15,6,ROW('DM_DanToc'!$B$2:$B$78)-ROW('DM_DanToc'!$B$2)+1/ISNUMBER(SEARCH(SUBSTITUTE(UPPER($K54)," ",""),'DM_DanToc'!$C$2:$C$78)),1)),"Không tìm thấy"))</f>
        <v/>
      </c>
      <c r="W54" s="5">
        <f>IF($Q54="","",IFERROR(INDEX('DM_TinhThanh'!$B$2:$B$35,AGGREGATE(15,6,ROW('DM_TinhThanh'!$B$2:$B$35)-ROW('DM_TinhThanh'!$B$2)+1/ISNUMBER(SEARCH(SUBSTITUTE(UPPER($Q54)," ",""),'DM_TinhThanh'!$C$2:$C$35)),1)),"Không tìm thấy"))</f>
        <v/>
      </c>
      <c r="Y54" s="5">
        <f>IF($R54="","",IFERROR(INDEX('DM_XaPhuong'!$B$2:$B$169,AGGREGATE(15,6,ROW('DM_XaPhuong'!$B$2:$B$169)-ROW('DM_XaPhuong'!$B$2)+1/ISNUMBER(SEARCH(SUBSTITUTE(UPPER($R54)," ",""),'DM_XaPhuong'!$C$2:$C$169)),1)),"Không tìm thấy"))</f>
        <v/>
      </c>
      <c r="AB54" s="5">
        <f>IF($T54="","",IFERROR(INDEX('DM_NgheNghiep'!$B$2:$B$11,AGGREGATE(15,6,ROW('DM_NgheNghiep'!$B$2:$B$11)-ROW('DM_NgheNghiep'!$B$2)+1/ISNUMBER(SEARCH(SUBSTITUTE(UPPER($T54)," ",""),'DM_NgheNghiep'!$C$2:$C$11)),1)),"Không tìm thấy"))</f>
        <v/>
      </c>
      <c r="AD54" s="5">
        <f>IF($U54="","",IFERROR(INDEX('DM_NoiCongTac'!$B$2:$B$11,AGGREGATE(15,6,ROW('DM_NoiCongTac'!$B$2:$B$11)-ROW('DM_NoiCongTac'!$B$2)+1/ISNUMBER(SEARCH(SUBSTITUTE(UPPER($U54)," ",""),'DM_NoiCongTac'!$C$2:$C$11)),1)),"Không tìm thấy"))</f>
        <v/>
      </c>
      <c r="AF54" s="5">
        <f>IF($V54="","",IFERROR(INDEX('DM_XaPhuong'!$B$2:$B$169,AGGREGATE(15,6,ROW('DM_XaPhuong'!$B$2:$B$169)-ROW('DM_XaPhuong'!$B$2)+1/ISNUMBER(SEARCH(SUBSTITUTE(UPPER($V54)," ",""),'DM_XaPhuong'!$C$2:$C$169)),1)),"Không tìm thấy"))</f>
        <v/>
      </c>
    </row>
    <row r="55">
      <c r="C55" s="5">
        <f>IF($B55="","",IFERROR(INDEX('DM_DoiTuong'!$B$2:$B$19,AGGREGATE(15,6,ROW('DM_DoiTuong'!$B$2:$B$19)-ROW('DM_DoiTuong'!$B$2)+1/ISNUMBER(SEARCH(SUBSTITUTE(UPPER($B55)," ",""),'DM_DoiTuong'!$C$2:$C$19)),1)),"Không tìm thấy"))</f>
        <v/>
      </c>
      <c r="E55" s="5">
        <f>IF($C55="","",IFERROR(INDEX('DM_DiaDiemKham'!$B$2:$B$6,AGGREGATE(15,6,ROW('DM_DiaDiemKham'!$B$2:$B$6)-ROW('DM_DiaDiemKham'!$B$2)+1/ISNUMBER(SEARCH(SUBSTITUTE(UPPER($C55)," ",""),'DM_DiaDiemKham'!$C$2:$C$6)),1)),"Không tìm thấy"))</f>
        <v/>
      </c>
      <c r="G55" s="5">
        <f>IF($D55="","",IFERROR(INDEX('DM_HinhThucChiTra'!$B$2:$B$5,AGGREGATE(15,6,ROW('DM_HinhThucChiTra'!$B$2:$B$5)-ROW('DM_HinhThucChiTra'!$B$2)+1/ISNUMBER(SEARCH(SUBSTITUTE(UPPER($D55)," ",""),'DM_HinhThucChiTra'!$C$2:$C$5)),1)),"Không tìm thấy"))</f>
        <v/>
      </c>
      <c r="I55" s="5">
        <f>IF($E55="","",IFERROR(INDEX('DM_HinhThucKham'!$B$2:$B$3,AGGREGATE(15,6,ROW('DM_HinhThucKham'!$B$2:$B$3)-ROW('DM_HinhThucKham'!$B$2)+1/ISNUMBER(SEARCH(SUBSTITUTE(UPPER($E55)," ",""),'DM_HinhThucKham'!$C$2:$C$3)),1)),"Không tìm thấy"))</f>
        <v/>
      </c>
      <c r="P55" s="5">
        <f>IF($K55="","",IFERROR(INDEX('DM_DanToc'!$B$2:$B$78,AGGREGATE(15,6,ROW('DM_DanToc'!$B$2:$B$78)-ROW('DM_DanToc'!$B$2)+1/ISNUMBER(SEARCH(SUBSTITUTE(UPPER($K55)," ",""),'DM_DanToc'!$C$2:$C$78)),1)),"Không tìm thấy"))</f>
        <v/>
      </c>
      <c r="W55" s="5">
        <f>IF($Q55="","",IFERROR(INDEX('DM_TinhThanh'!$B$2:$B$35,AGGREGATE(15,6,ROW('DM_TinhThanh'!$B$2:$B$35)-ROW('DM_TinhThanh'!$B$2)+1/ISNUMBER(SEARCH(SUBSTITUTE(UPPER($Q55)," ",""),'DM_TinhThanh'!$C$2:$C$35)),1)),"Không tìm thấy"))</f>
        <v/>
      </c>
      <c r="Y55" s="5">
        <f>IF($R55="","",IFERROR(INDEX('DM_XaPhuong'!$B$2:$B$169,AGGREGATE(15,6,ROW('DM_XaPhuong'!$B$2:$B$169)-ROW('DM_XaPhuong'!$B$2)+1/ISNUMBER(SEARCH(SUBSTITUTE(UPPER($R55)," ",""),'DM_XaPhuong'!$C$2:$C$169)),1)),"Không tìm thấy"))</f>
        <v/>
      </c>
      <c r="AB55" s="5">
        <f>IF($T55="","",IFERROR(INDEX('DM_NgheNghiep'!$B$2:$B$11,AGGREGATE(15,6,ROW('DM_NgheNghiep'!$B$2:$B$11)-ROW('DM_NgheNghiep'!$B$2)+1/ISNUMBER(SEARCH(SUBSTITUTE(UPPER($T55)," ",""),'DM_NgheNghiep'!$C$2:$C$11)),1)),"Không tìm thấy"))</f>
        <v/>
      </c>
      <c r="AD55" s="5">
        <f>IF($U55="","",IFERROR(INDEX('DM_NoiCongTac'!$B$2:$B$11,AGGREGATE(15,6,ROW('DM_NoiCongTac'!$B$2:$B$11)-ROW('DM_NoiCongTac'!$B$2)+1/ISNUMBER(SEARCH(SUBSTITUTE(UPPER($U55)," ",""),'DM_NoiCongTac'!$C$2:$C$11)),1)),"Không tìm thấy"))</f>
        <v/>
      </c>
      <c r="AF55" s="5">
        <f>IF($V55="","",IFERROR(INDEX('DM_XaPhuong'!$B$2:$B$169,AGGREGATE(15,6,ROW('DM_XaPhuong'!$B$2:$B$169)-ROW('DM_XaPhuong'!$B$2)+1/ISNUMBER(SEARCH(SUBSTITUTE(UPPER($V55)," ",""),'DM_XaPhuong'!$C$2:$C$169)),1)),"Không tìm thấy"))</f>
        <v/>
      </c>
    </row>
    <row r="56">
      <c r="C56" s="5">
        <f>IF($B56="","",IFERROR(INDEX('DM_DoiTuong'!$B$2:$B$19,AGGREGATE(15,6,ROW('DM_DoiTuong'!$B$2:$B$19)-ROW('DM_DoiTuong'!$B$2)+1/ISNUMBER(SEARCH(SUBSTITUTE(UPPER($B56)," ",""),'DM_DoiTuong'!$C$2:$C$19)),1)),"Không tìm thấy"))</f>
        <v/>
      </c>
      <c r="E56" s="5">
        <f>IF($C56="","",IFERROR(INDEX('DM_DiaDiemKham'!$B$2:$B$6,AGGREGATE(15,6,ROW('DM_DiaDiemKham'!$B$2:$B$6)-ROW('DM_DiaDiemKham'!$B$2)+1/ISNUMBER(SEARCH(SUBSTITUTE(UPPER($C56)," ",""),'DM_DiaDiemKham'!$C$2:$C$6)),1)),"Không tìm thấy"))</f>
        <v/>
      </c>
      <c r="G56" s="5">
        <f>IF($D56="","",IFERROR(INDEX('DM_HinhThucChiTra'!$B$2:$B$5,AGGREGATE(15,6,ROW('DM_HinhThucChiTra'!$B$2:$B$5)-ROW('DM_HinhThucChiTra'!$B$2)+1/ISNUMBER(SEARCH(SUBSTITUTE(UPPER($D56)," ",""),'DM_HinhThucChiTra'!$C$2:$C$5)),1)),"Không tìm thấy"))</f>
        <v/>
      </c>
      <c r="I56" s="5">
        <f>IF($E56="","",IFERROR(INDEX('DM_HinhThucKham'!$B$2:$B$3,AGGREGATE(15,6,ROW('DM_HinhThucKham'!$B$2:$B$3)-ROW('DM_HinhThucKham'!$B$2)+1/ISNUMBER(SEARCH(SUBSTITUTE(UPPER($E56)," ",""),'DM_HinhThucKham'!$C$2:$C$3)),1)),"Không tìm thấy"))</f>
        <v/>
      </c>
      <c r="P56" s="5">
        <f>IF($K56="","",IFERROR(INDEX('DM_DanToc'!$B$2:$B$78,AGGREGATE(15,6,ROW('DM_DanToc'!$B$2:$B$78)-ROW('DM_DanToc'!$B$2)+1/ISNUMBER(SEARCH(SUBSTITUTE(UPPER($K56)," ",""),'DM_DanToc'!$C$2:$C$78)),1)),"Không tìm thấy"))</f>
        <v/>
      </c>
      <c r="W56" s="5">
        <f>IF($Q56="","",IFERROR(INDEX('DM_TinhThanh'!$B$2:$B$35,AGGREGATE(15,6,ROW('DM_TinhThanh'!$B$2:$B$35)-ROW('DM_TinhThanh'!$B$2)+1/ISNUMBER(SEARCH(SUBSTITUTE(UPPER($Q56)," ",""),'DM_TinhThanh'!$C$2:$C$35)),1)),"Không tìm thấy"))</f>
        <v/>
      </c>
      <c r="Y56" s="5">
        <f>IF($R56="","",IFERROR(INDEX('DM_XaPhuong'!$B$2:$B$169,AGGREGATE(15,6,ROW('DM_XaPhuong'!$B$2:$B$169)-ROW('DM_XaPhuong'!$B$2)+1/ISNUMBER(SEARCH(SUBSTITUTE(UPPER($R56)," ",""),'DM_XaPhuong'!$C$2:$C$169)),1)),"Không tìm thấy"))</f>
        <v/>
      </c>
      <c r="AB56" s="5">
        <f>IF($T56="","",IFERROR(INDEX('DM_NgheNghiep'!$B$2:$B$11,AGGREGATE(15,6,ROW('DM_NgheNghiep'!$B$2:$B$11)-ROW('DM_NgheNghiep'!$B$2)+1/ISNUMBER(SEARCH(SUBSTITUTE(UPPER($T56)," ",""),'DM_NgheNghiep'!$C$2:$C$11)),1)),"Không tìm thấy"))</f>
        <v/>
      </c>
      <c r="AD56" s="5">
        <f>IF($U56="","",IFERROR(INDEX('DM_NoiCongTac'!$B$2:$B$11,AGGREGATE(15,6,ROW('DM_NoiCongTac'!$B$2:$B$11)-ROW('DM_NoiCongTac'!$B$2)+1/ISNUMBER(SEARCH(SUBSTITUTE(UPPER($U56)," ",""),'DM_NoiCongTac'!$C$2:$C$11)),1)),"Không tìm thấy"))</f>
        <v/>
      </c>
      <c r="AF56" s="5">
        <f>IF($V56="","",IFERROR(INDEX('DM_XaPhuong'!$B$2:$B$169,AGGREGATE(15,6,ROW('DM_XaPhuong'!$B$2:$B$169)-ROW('DM_XaPhuong'!$B$2)+1/ISNUMBER(SEARCH(SUBSTITUTE(UPPER($V56)," ",""),'DM_XaPhuong'!$C$2:$C$169)),1)),"Không tìm thấy"))</f>
        <v/>
      </c>
    </row>
    <row r="57">
      <c r="C57" s="5">
        <f>IF($B57="","",IFERROR(INDEX('DM_DoiTuong'!$B$2:$B$19,AGGREGATE(15,6,ROW('DM_DoiTuong'!$B$2:$B$19)-ROW('DM_DoiTuong'!$B$2)+1/ISNUMBER(SEARCH(SUBSTITUTE(UPPER($B57)," ",""),'DM_DoiTuong'!$C$2:$C$19)),1)),"Không tìm thấy"))</f>
        <v/>
      </c>
      <c r="E57" s="5">
        <f>IF($C57="","",IFERROR(INDEX('DM_DiaDiemKham'!$B$2:$B$6,AGGREGATE(15,6,ROW('DM_DiaDiemKham'!$B$2:$B$6)-ROW('DM_DiaDiemKham'!$B$2)+1/ISNUMBER(SEARCH(SUBSTITUTE(UPPER($C57)," ",""),'DM_DiaDiemKham'!$C$2:$C$6)),1)),"Không tìm thấy"))</f>
        <v/>
      </c>
      <c r="G57" s="5">
        <f>IF($D57="","",IFERROR(INDEX('DM_HinhThucChiTra'!$B$2:$B$5,AGGREGATE(15,6,ROW('DM_HinhThucChiTra'!$B$2:$B$5)-ROW('DM_HinhThucChiTra'!$B$2)+1/ISNUMBER(SEARCH(SUBSTITUTE(UPPER($D57)," ",""),'DM_HinhThucChiTra'!$C$2:$C$5)),1)),"Không tìm thấy"))</f>
        <v/>
      </c>
      <c r="I57" s="5">
        <f>IF($E57="","",IFERROR(INDEX('DM_HinhThucKham'!$B$2:$B$3,AGGREGATE(15,6,ROW('DM_HinhThucKham'!$B$2:$B$3)-ROW('DM_HinhThucKham'!$B$2)+1/ISNUMBER(SEARCH(SUBSTITUTE(UPPER($E57)," ",""),'DM_HinhThucKham'!$C$2:$C$3)),1)),"Không tìm thấy"))</f>
        <v/>
      </c>
      <c r="P57" s="5">
        <f>IF($K57="","",IFERROR(INDEX('DM_DanToc'!$B$2:$B$78,AGGREGATE(15,6,ROW('DM_DanToc'!$B$2:$B$78)-ROW('DM_DanToc'!$B$2)+1/ISNUMBER(SEARCH(SUBSTITUTE(UPPER($K57)," ",""),'DM_DanToc'!$C$2:$C$78)),1)),"Không tìm thấy"))</f>
        <v/>
      </c>
      <c r="W57" s="5">
        <f>IF($Q57="","",IFERROR(INDEX('DM_TinhThanh'!$B$2:$B$35,AGGREGATE(15,6,ROW('DM_TinhThanh'!$B$2:$B$35)-ROW('DM_TinhThanh'!$B$2)+1/ISNUMBER(SEARCH(SUBSTITUTE(UPPER($Q57)," ",""),'DM_TinhThanh'!$C$2:$C$35)),1)),"Không tìm thấy"))</f>
        <v/>
      </c>
      <c r="Y57" s="5">
        <f>IF($R57="","",IFERROR(INDEX('DM_XaPhuong'!$B$2:$B$169,AGGREGATE(15,6,ROW('DM_XaPhuong'!$B$2:$B$169)-ROW('DM_XaPhuong'!$B$2)+1/ISNUMBER(SEARCH(SUBSTITUTE(UPPER($R57)," ",""),'DM_XaPhuong'!$C$2:$C$169)),1)),"Không tìm thấy"))</f>
        <v/>
      </c>
      <c r="AB57" s="5">
        <f>IF($T57="","",IFERROR(INDEX('DM_NgheNghiep'!$B$2:$B$11,AGGREGATE(15,6,ROW('DM_NgheNghiep'!$B$2:$B$11)-ROW('DM_NgheNghiep'!$B$2)+1/ISNUMBER(SEARCH(SUBSTITUTE(UPPER($T57)," ",""),'DM_NgheNghiep'!$C$2:$C$11)),1)),"Không tìm thấy"))</f>
        <v/>
      </c>
      <c r="AD57" s="5">
        <f>IF($U57="","",IFERROR(INDEX('DM_NoiCongTac'!$B$2:$B$11,AGGREGATE(15,6,ROW('DM_NoiCongTac'!$B$2:$B$11)-ROW('DM_NoiCongTac'!$B$2)+1/ISNUMBER(SEARCH(SUBSTITUTE(UPPER($U57)," ",""),'DM_NoiCongTac'!$C$2:$C$11)),1)),"Không tìm thấy"))</f>
        <v/>
      </c>
      <c r="AF57" s="5">
        <f>IF($V57="","",IFERROR(INDEX('DM_XaPhuong'!$B$2:$B$169,AGGREGATE(15,6,ROW('DM_XaPhuong'!$B$2:$B$169)-ROW('DM_XaPhuong'!$B$2)+1/ISNUMBER(SEARCH(SUBSTITUTE(UPPER($V57)," ",""),'DM_XaPhuong'!$C$2:$C$169)),1)),"Không tìm thấy"))</f>
        <v/>
      </c>
    </row>
    <row r="58">
      <c r="C58" s="5">
        <f>IF($B58="","",IFERROR(INDEX('DM_DoiTuong'!$B$2:$B$19,AGGREGATE(15,6,ROW('DM_DoiTuong'!$B$2:$B$19)-ROW('DM_DoiTuong'!$B$2)+1/ISNUMBER(SEARCH(SUBSTITUTE(UPPER($B58)," ",""),'DM_DoiTuong'!$C$2:$C$19)),1)),"Không tìm thấy"))</f>
        <v/>
      </c>
      <c r="E58" s="5">
        <f>IF($C58="","",IFERROR(INDEX('DM_DiaDiemKham'!$B$2:$B$6,AGGREGATE(15,6,ROW('DM_DiaDiemKham'!$B$2:$B$6)-ROW('DM_DiaDiemKham'!$B$2)+1/ISNUMBER(SEARCH(SUBSTITUTE(UPPER($C58)," ",""),'DM_DiaDiemKham'!$C$2:$C$6)),1)),"Không tìm thấy"))</f>
        <v/>
      </c>
      <c r="G58" s="5">
        <f>IF($D58="","",IFERROR(INDEX('DM_HinhThucChiTra'!$B$2:$B$5,AGGREGATE(15,6,ROW('DM_HinhThucChiTra'!$B$2:$B$5)-ROW('DM_HinhThucChiTra'!$B$2)+1/ISNUMBER(SEARCH(SUBSTITUTE(UPPER($D58)," ",""),'DM_HinhThucChiTra'!$C$2:$C$5)),1)),"Không tìm thấy"))</f>
        <v/>
      </c>
      <c r="I58" s="5">
        <f>IF($E58="","",IFERROR(INDEX('DM_HinhThucKham'!$B$2:$B$3,AGGREGATE(15,6,ROW('DM_HinhThucKham'!$B$2:$B$3)-ROW('DM_HinhThucKham'!$B$2)+1/ISNUMBER(SEARCH(SUBSTITUTE(UPPER($E58)," ",""),'DM_HinhThucKham'!$C$2:$C$3)),1)),"Không tìm thấy"))</f>
        <v/>
      </c>
      <c r="P58" s="5">
        <f>IF($K58="","",IFERROR(INDEX('DM_DanToc'!$B$2:$B$78,AGGREGATE(15,6,ROW('DM_DanToc'!$B$2:$B$78)-ROW('DM_DanToc'!$B$2)+1/ISNUMBER(SEARCH(SUBSTITUTE(UPPER($K58)," ",""),'DM_DanToc'!$C$2:$C$78)),1)),"Không tìm thấy"))</f>
        <v/>
      </c>
      <c r="W58" s="5">
        <f>IF($Q58="","",IFERROR(INDEX('DM_TinhThanh'!$B$2:$B$35,AGGREGATE(15,6,ROW('DM_TinhThanh'!$B$2:$B$35)-ROW('DM_TinhThanh'!$B$2)+1/ISNUMBER(SEARCH(SUBSTITUTE(UPPER($Q58)," ",""),'DM_TinhThanh'!$C$2:$C$35)),1)),"Không tìm thấy"))</f>
        <v/>
      </c>
      <c r="Y58" s="5">
        <f>IF($R58="","",IFERROR(INDEX('DM_XaPhuong'!$B$2:$B$169,AGGREGATE(15,6,ROW('DM_XaPhuong'!$B$2:$B$169)-ROW('DM_XaPhuong'!$B$2)+1/ISNUMBER(SEARCH(SUBSTITUTE(UPPER($R58)," ",""),'DM_XaPhuong'!$C$2:$C$169)),1)),"Không tìm thấy"))</f>
        <v/>
      </c>
      <c r="AB58" s="5">
        <f>IF($T58="","",IFERROR(INDEX('DM_NgheNghiep'!$B$2:$B$11,AGGREGATE(15,6,ROW('DM_NgheNghiep'!$B$2:$B$11)-ROW('DM_NgheNghiep'!$B$2)+1/ISNUMBER(SEARCH(SUBSTITUTE(UPPER($T58)," ",""),'DM_NgheNghiep'!$C$2:$C$11)),1)),"Không tìm thấy"))</f>
        <v/>
      </c>
      <c r="AD58" s="5">
        <f>IF($U58="","",IFERROR(INDEX('DM_NoiCongTac'!$B$2:$B$11,AGGREGATE(15,6,ROW('DM_NoiCongTac'!$B$2:$B$11)-ROW('DM_NoiCongTac'!$B$2)+1/ISNUMBER(SEARCH(SUBSTITUTE(UPPER($U58)," ",""),'DM_NoiCongTac'!$C$2:$C$11)),1)),"Không tìm thấy"))</f>
        <v/>
      </c>
      <c r="AF58" s="5">
        <f>IF($V58="","",IFERROR(INDEX('DM_XaPhuong'!$B$2:$B$169,AGGREGATE(15,6,ROW('DM_XaPhuong'!$B$2:$B$169)-ROW('DM_XaPhuong'!$B$2)+1/ISNUMBER(SEARCH(SUBSTITUTE(UPPER($V58)," ",""),'DM_XaPhuong'!$C$2:$C$169)),1)),"Không tìm thấy"))</f>
        <v/>
      </c>
    </row>
    <row r="59">
      <c r="C59" s="5">
        <f>IF($B59="","",IFERROR(INDEX('DM_DoiTuong'!$B$2:$B$19,AGGREGATE(15,6,ROW('DM_DoiTuong'!$B$2:$B$19)-ROW('DM_DoiTuong'!$B$2)+1/ISNUMBER(SEARCH(SUBSTITUTE(UPPER($B59)," ",""),'DM_DoiTuong'!$C$2:$C$19)),1)),"Không tìm thấy"))</f>
        <v/>
      </c>
      <c r="E59" s="5">
        <f>IF($C59="","",IFERROR(INDEX('DM_DiaDiemKham'!$B$2:$B$6,AGGREGATE(15,6,ROW('DM_DiaDiemKham'!$B$2:$B$6)-ROW('DM_DiaDiemKham'!$B$2)+1/ISNUMBER(SEARCH(SUBSTITUTE(UPPER($C59)," ",""),'DM_DiaDiemKham'!$C$2:$C$6)),1)),"Không tìm thấy"))</f>
        <v/>
      </c>
      <c r="G59" s="5">
        <f>IF($D59="","",IFERROR(INDEX('DM_HinhThucChiTra'!$B$2:$B$5,AGGREGATE(15,6,ROW('DM_HinhThucChiTra'!$B$2:$B$5)-ROW('DM_HinhThucChiTra'!$B$2)+1/ISNUMBER(SEARCH(SUBSTITUTE(UPPER($D59)," ",""),'DM_HinhThucChiTra'!$C$2:$C$5)),1)),"Không tìm thấy"))</f>
        <v/>
      </c>
      <c r="I59" s="5">
        <f>IF($E59="","",IFERROR(INDEX('DM_HinhThucKham'!$B$2:$B$3,AGGREGATE(15,6,ROW('DM_HinhThucKham'!$B$2:$B$3)-ROW('DM_HinhThucKham'!$B$2)+1/ISNUMBER(SEARCH(SUBSTITUTE(UPPER($E59)," ",""),'DM_HinhThucKham'!$C$2:$C$3)),1)),"Không tìm thấy"))</f>
        <v/>
      </c>
      <c r="P59" s="5">
        <f>IF($K59="","",IFERROR(INDEX('DM_DanToc'!$B$2:$B$78,AGGREGATE(15,6,ROW('DM_DanToc'!$B$2:$B$78)-ROW('DM_DanToc'!$B$2)+1/ISNUMBER(SEARCH(SUBSTITUTE(UPPER($K59)," ",""),'DM_DanToc'!$C$2:$C$78)),1)),"Không tìm thấy"))</f>
        <v/>
      </c>
      <c r="W59" s="5">
        <f>IF($Q59="","",IFERROR(INDEX('DM_TinhThanh'!$B$2:$B$35,AGGREGATE(15,6,ROW('DM_TinhThanh'!$B$2:$B$35)-ROW('DM_TinhThanh'!$B$2)+1/ISNUMBER(SEARCH(SUBSTITUTE(UPPER($Q59)," ",""),'DM_TinhThanh'!$C$2:$C$35)),1)),"Không tìm thấy"))</f>
        <v/>
      </c>
      <c r="Y59" s="5">
        <f>IF($R59="","",IFERROR(INDEX('DM_XaPhuong'!$B$2:$B$169,AGGREGATE(15,6,ROW('DM_XaPhuong'!$B$2:$B$169)-ROW('DM_XaPhuong'!$B$2)+1/ISNUMBER(SEARCH(SUBSTITUTE(UPPER($R59)," ",""),'DM_XaPhuong'!$C$2:$C$169)),1)),"Không tìm thấy"))</f>
        <v/>
      </c>
      <c r="AB59" s="5">
        <f>IF($T59="","",IFERROR(INDEX('DM_NgheNghiep'!$B$2:$B$11,AGGREGATE(15,6,ROW('DM_NgheNghiep'!$B$2:$B$11)-ROW('DM_NgheNghiep'!$B$2)+1/ISNUMBER(SEARCH(SUBSTITUTE(UPPER($T59)," ",""),'DM_NgheNghiep'!$C$2:$C$11)),1)),"Không tìm thấy"))</f>
        <v/>
      </c>
      <c r="AD59" s="5">
        <f>IF($U59="","",IFERROR(INDEX('DM_NoiCongTac'!$B$2:$B$11,AGGREGATE(15,6,ROW('DM_NoiCongTac'!$B$2:$B$11)-ROW('DM_NoiCongTac'!$B$2)+1/ISNUMBER(SEARCH(SUBSTITUTE(UPPER($U59)," ",""),'DM_NoiCongTac'!$C$2:$C$11)),1)),"Không tìm thấy"))</f>
        <v/>
      </c>
      <c r="AF59" s="5">
        <f>IF($V59="","",IFERROR(INDEX('DM_XaPhuong'!$B$2:$B$169,AGGREGATE(15,6,ROW('DM_XaPhuong'!$B$2:$B$169)-ROW('DM_XaPhuong'!$B$2)+1/ISNUMBER(SEARCH(SUBSTITUTE(UPPER($V59)," ",""),'DM_XaPhuong'!$C$2:$C$169)),1)),"Không tìm thấy"))</f>
        <v/>
      </c>
    </row>
    <row r="60">
      <c r="C60" s="5">
        <f>IF($B60="","",IFERROR(INDEX('DM_DoiTuong'!$B$2:$B$19,AGGREGATE(15,6,ROW('DM_DoiTuong'!$B$2:$B$19)-ROW('DM_DoiTuong'!$B$2)+1/ISNUMBER(SEARCH(SUBSTITUTE(UPPER($B60)," ",""),'DM_DoiTuong'!$C$2:$C$19)),1)),"Không tìm thấy"))</f>
        <v/>
      </c>
      <c r="E60" s="5">
        <f>IF($C60="","",IFERROR(INDEX('DM_DiaDiemKham'!$B$2:$B$6,AGGREGATE(15,6,ROW('DM_DiaDiemKham'!$B$2:$B$6)-ROW('DM_DiaDiemKham'!$B$2)+1/ISNUMBER(SEARCH(SUBSTITUTE(UPPER($C60)," ",""),'DM_DiaDiemKham'!$C$2:$C$6)),1)),"Không tìm thấy"))</f>
        <v/>
      </c>
      <c r="G60" s="5">
        <f>IF($D60="","",IFERROR(INDEX('DM_HinhThucChiTra'!$B$2:$B$5,AGGREGATE(15,6,ROW('DM_HinhThucChiTra'!$B$2:$B$5)-ROW('DM_HinhThucChiTra'!$B$2)+1/ISNUMBER(SEARCH(SUBSTITUTE(UPPER($D60)," ",""),'DM_HinhThucChiTra'!$C$2:$C$5)),1)),"Không tìm thấy"))</f>
        <v/>
      </c>
      <c r="I60" s="5">
        <f>IF($E60="","",IFERROR(INDEX('DM_HinhThucKham'!$B$2:$B$3,AGGREGATE(15,6,ROW('DM_HinhThucKham'!$B$2:$B$3)-ROW('DM_HinhThucKham'!$B$2)+1/ISNUMBER(SEARCH(SUBSTITUTE(UPPER($E60)," ",""),'DM_HinhThucKham'!$C$2:$C$3)),1)),"Không tìm thấy"))</f>
        <v/>
      </c>
      <c r="P60" s="5">
        <f>IF($K60="","",IFERROR(INDEX('DM_DanToc'!$B$2:$B$78,AGGREGATE(15,6,ROW('DM_DanToc'!$B$2:$B$78)-ROW('DM_DanToc'!$B$2)+1/ISNUMBER(SEARCH(SUBSTITUTE(UPPER($K60)," ",""),'DM_DanToc'!$C$2:$C$78)),1)),"Không tìm thấy"))</f>
        <v/>
      </c>
      <c r="W60" s="5">
        <f>IF($Q60="","",IFERROR(INDEX('DM_TinhThanh'!$B$2:$B$35,AGGREGATE(15,6,ROW('DM_TinhThanh'!$B$2:$B$35)-ROW('DM_TinhThanh'!$B$2)+1/ISNUMBER(SEARCH(SUBSTITUTE(UPPER($Q60)," ",""),'DM_TinhThanh'!$C$2:$C$35)),1)),"Không tìm thấy"))</f>
        <v/>
      </c>
      <c r="Y60" s="5">
        <f>IF($R60="","",IFERROR(INDEX('DM_XaPhuong'!$B$2:$B$169,AGGREGATE(15,6,ROW('DM_XaPhuong'!$B$2:$B$169)-ROW('DM_XaPhuong'!$B$2)+1/ISNUMBER(SEARCH(SUBSTITUTE(UPPER($R60)," ",""),'DM_XaPhuong'!$C$2:$C$169)),1)),"Không tìm thấy"))</f>
        <v/>
      </c>
      <c r="AB60" s="5">
        <f>IF($T60="","",IFERROR(INDEX('DM_NgheNghiep'!$B$2:$B$11,AGGREGATE(15,6,ROW('DM_NgheNghiep'!$B$2:$B$11)-ROW('DM_NgheNghiep'!$B$2)+1/ISNUMBER(SEARCH(SUBSTITUTE(UPPER($T60)," ",""),'DM_NgheNghiep'!$C$2:$C$11)),1)),"Không tìm thấy"))</f>
        <v/>
      </c>
      <c r="AD60" s="5">
        <f>IF($U60="","",IFERROR(INDEX('DM_NoiCongTac'!$B$2:$B$11,AGGREGATE(15,6,ROW('DM_NoiCongTac'!$B$2:$B$11)-ROW('DM_NoiCongTac'!$B$2)+1/ISNUMBER(SEARCH(SUBSTITUTE(UPPER($U60)," ",""),'DM_NoiCongTac'!$C$2:$C$11)),1)),"Không tìm thấy"))</f>
        <v/>
      </c>
      <c r="AF60" s="5">
        <f>IF($V60="","",IFERROR(INDEX('DM_XaPhuong'!$B$2:$B$169,AGGREGATE(15,6,ROW('DM_XaPhuong'!$B$2:$B$169)-ROW('DM_XaPhuong'!$B$2)+1/ISNUMBER(SEARCH(SUBSTITUTE(UPPER($V60)," ",""),'DM_XaPhuong'!$C$2:$C$169)),1)),"Không tìm thấy"))</f>
        <v/>
      </c>
    </row>
    <row r="61">
      <c r="C61" s="5">
        <f>IF($B61="","",IFERROR(INDEX('DM_DoiTuong'!$B$2:$B$19,AGGREGATE(15,6,ROW('DM_DoiTuong'!$B$2:$B$19)-ROW('DM_DoiTuong'!$B$2)+1/ISNUMBER(SEARCH(SUBSTITUTE(UPPER($B61)," ",""),'DM_DoiTuong'!$C$2:$C$19)),1)),"Không tìm thấy"))</f>
        <v/>
      </c>
      <c r="E61" s="5">
        <f>IF($C61="","",IFERROR(INDEX('DM_DiaDiemKham'!$B$2:$B$6,AGGREGATE(15,6,ROW('DM_DiaDiemKham'!$B$2:$B$6)-ROW('DM_DiaDiemKham'!$B$2)+1/ISNUMBER(SEARCH(SUBSTITUTE(UPPER($C61)," ",""),'DM_DiaDiemKham'!$C$2:$C$6)),1)),"Không tìm thấy"))</f>
        <v/>
      </c>
      <c r="G61" s="5">
        <f>IF($D61="","",IFERROR(INDEX('DM_HinhThucChiTra'!$B$2:$B$5,AGGREGATE(15,6,ROW('DM_HinhThucChiTra'!$B$2:$B$5)-ROW('DM_HinhThucChiTra'!$B$2)+1/ISNUMBER(SEARCH(SUBSTITUTE(UPPER($D61)," ",""),'DM_HinhThucChiTra'!$C$2:$C$5)),1)),"Không tìm thấy"))</f>
        <v/>
      </c>
      <c r="I61" s="5">
        <f>IF($E61="","",IFERROR(INDEX('DM_HinhThucKham'!$B$2:$B$3,AGGREGATE(15,6,ROW('DM_HinhThucKham'!$B$2:$B$3)-ROW('DM_HinhThucKham'!$B$2)+1/ISNUMBER(SEARCH(SUBSTITUTE(UPPER($E61)," ",""),'DM_HinhThucKham'!$C$2:$C$3)),1)),"Không tìm thấy"))</f>
        <v/>
      </c>
      <c r="P61" s="5">
        <f>IF($K61="","",IFERROR(INDEX('DM_DanToc'!$B$2:$B$78,AGGREGATE(15,6,ROW('DM_DanToc'!$B$2:$B$78)-ROW('DM_DanToc'!$B$2)+1/ISNUMBER(SEARCH(SUBSTITUTE(UPPER($K61)," ",""),'DM_DanToc'!$C$2:$C$78)),1)),"Không tìm thấy"))</f>
        <v/>
      </c>
      <c r="W61" s="5">
        <f>IF($Q61="","",IFERROR(INDEX('DM_TinhThanh'!$B$2:$B$35,AGGREGATE(15,6,ROW('DM_TinhThanh'!$B$2:$B$35)-ROW('DM_TinhThanh'!$B$2)+1/ISNUMBER(SEARCH(SUBSTITUTE(UPPER($Q61)," ",""),'DM_TinhThanh'!$C$2:$C$35)),1)),"Không tìm thấy"))</f>
        <v/>
      </c>
      <c r="Y61" s="5">
        <f>IF($R61="","",IFERROR(INDEX('DM_XaPhuong'!$B$2:$B$169,AGGREGATE(15,6,ROW('DM_XaPhuong'!$B$2:$B$169)-ROW('DM_XaPhuong'!$B$2)+1/ISNUMBER(SEARCH(SUBSTITUTE(UPPER($R61)," ",""),'DM_XaPhuong'!$C$2:$C$169)),1)),"Không tìm thấy"))</f>
        <v/>
      </c>
      <c r="AB61" s="5">
        <f>IF($T61="","",IFERROR(INDEX('DM_NgheNghiep'!$B$2:$B$11,AGGREGATE(15,6,ROW('DM_NgheNghiep'!$B$2:$B$11)-ROW('DM_NgheNghiep'!$B$2)+1/ISNUMBER(SEARCH(SUBSTITUTE(UPPER($T61)," ",""),'DM_NgheNghiep'!$C$2:$C$11)),1)),"Không tìm thấy"))</f>
        <v/>
      </c>
      <c r="AD61" s="5">
        <f>IF($U61="","",IFERROR(INDEX('DM_NoiCongTac'!$B$2:$B$11,AGGREGATE(15,6,ROW('DM_NoiCongTac'!$B$2:$B$11)-ROW('DM_NoiCongTac'!$B$2)+1/ISNUMBER(SEARCH(SUBSTITUTE(UPPER($U61)," ",""),'DM_NoiCongTac'!$C$2:$C$11)),1)),"Không tìm thấy"))</f>
        <v/>
      </c>
      <c r="AF61" s="5">
        <f>IF($V61="","",IFERROR(INDEX('DM_XaPhuong'!$B$2:$B$169,AGGREGATE(15,6,ROW('DM_XaPhuong'!$B$2:$B$169)-ROW('DM_XaPhuong'!$B$2)+1/ISNUMBER(SEARCH(SUBSTITUTE(UPPER($V61)," ",""),'DM_XaPhuong'!$C$2:$C$169)),1)),"Không tìm thấy"))</f>
        <v/>
      </c>
    </row>
    <row r="62">
      <c r="C62" s="5">
        <f>IF($B62="","",IFERROR(INDEX('DM_DoiTuong'!$B$2:$B$19,AGGREGATE(15,6,ROW('DM_DoiTuong'!$B$2:$B$19)-ROW('DM_DoiTuong'!$B$2)+1/ISNUMBER(SEARCH(SUBSTITUTE(UPPER($B62)," ",""),'DM_DoiTuong'!$C$2:$C$19)),1)),"Không tìm thấy"))</f>
        <v/>
      </c>
      <c r="E62" s="5">
        <f>IF($C62="","",IFERROR(INDEX('DM_DiaDiemKham'!$B$2:$B$6,AGGREGATE(15,6,ROW('DM_DiaDiemKham'!$B$2:$B$6)-ROW('DM_DiaDiemKham'!$B$2)+1/ISNUMBER(SEARCH(SUBSTITUTE(UPPER($C62)," ",""),'DM_DiaDiemKham'!$C$2:$C$6)),1)),"Không tìm thấy"))</f>
        <v/>
      </c>
      <c r="G62" s="5">
        <f>IF($D62="","",IFERROR(INDEX('DM_HinhThucChiTra'!$B$2:$B$5,AGGREGATE(15,6,ROW('DM_HinhThucChiTra'!$B$2:$B$5)-ROW('DM_HinhThucChiTra'!$B$2)+1/ISNUMBER(SEARCH(SUBSTITUTE(UPPER($D62)," ",""),'DM_HinhThucChiTra'!$C$2:$C$5)),1)),"Không tìm thấy"))</f>
        <v/>
      </c>
      <c r="I62" s="5">
        <f>IF($E62="","",IFERROR(INDEX('DM_HinhThucKham'!$B$2:$B$3,AGGREGATE(15,6,ROW('DM_HinhThucKham'!$B$2:$B$3)-ROW('DM_HinhThucKham'!$B$2)+1/ISNUMBER(SEARCH(SUBSTITUTE(UPPER($E62)," ",""),'DM_HinhThucKham'!$C$2:$C$3)),1)),"Không tìm thấy"))</f>
        <v/>
      </c>
      <c r="P62" s="5">
        <f>IF($K62="","",IFERROR(INDEX('DM_DanToc'!$B$2:$B$78,AGGREGATE(15,6,ROW('DM_DanToc'!$B$2:$B$78)-ROW('DM_DanToc'!$B$2)+1/ISNUMBER(SEARCH(SUBSTITUTE(UPPER($K62)," ",""),'DM_DanToc'!$C$2:$C$78)),1)),"Không tìm thấy"))</f>
        <v/>
      </c>
      <c r="W62" s="5">
        <f>IF($Q62="","",IFERROR(INDEX('DM_TinhThanh'!$B$2:$B$35,AGGREGATE(15,6,ROW('DM_TinhThanh'!$B$2:$B$35)-ROW('DM_TinhThanh'!$B$2)+1/ISNUMBER(SEARCH(SUBSTITUTE(UPPER($Q62)," ",""),'DM_TinhThanh'!$C$2:$C$35)),1)),"Không tìm thấy"))</f>
        <v/>
      </c>
      <c r="Y62" s="5">
        <f>IF($R62="","",IFERROR(INDEX('DM_XaPhuong'!$B$2:$B$169,AGGREGATE(15,6,ROW('DM_XaPhuong'!$B$2:$B$169)-ROW('DM_XaPhuong'!$B$2)+1/ISNUMBER(SEARCH(SUBSTITUTE(UPPER($R62)," ",""),'DM_XaPhuong'!$C$2:$C$169)),1)),"Không tìm thấy"))</f>
        <v/>
      </c>
      <c r="AB62" s="5">
        <f>IF($T62="","",IFERROR(INDEX('DM_NgheNghiep'!$B$2:$B$11,AGGREGATE(15,6,ROW('DM_NgheNghiep'!$B$2:$B$11)-ROW('DM_NgheNghiep'!$B$2)+1/ISNUMBER(SEARCH(SUBSTITUTE(UPPER($T62)," ",""),'DM_NgheNghiep'!$C$2:$C$11)),1)),"Không tìm thấy"))</f>
        <v/>
      </c>
      <c r="AD62" s="5">
        <f>IF($U62="","",IFERROR(INDEX('DM_NoiCongTac'!$B$2:$B$11,AGGREGATE(15,6,ROW('DM_NoiCongTac'!$B$2:$B$11)-ROW('DM_NoiCongTac'!$B$2)+1/ISNUMBER(SEARCH(SUBSTITUTE(UPPER($U62)," ",""),'DM_NoiCongTac'!$C$2:$C$11)),1)),"Không tìm thấy"))</f>
        <v/>
      </c>
      <c r="AF62" s="5">
        <f>IF($V62="","",IFERROR(INDEX('DM_XaPhuong'!$B$2:$B$169,AGGREGATE(15,6,ROW('DM_XaPhuong'!$B$2:$B$169)-ROW('DM_XaPhuong'!$B$2)+1/ISNUMBER(SEARCH(SUBSTITUTE(UPPER($V62)," ",""),'DM_XaPhuong'!$C$2:$C$169)),1)),"Không tìm thấy"))</f>
        <v/>
      </c>
    </row>
    <row r="63">
      <c r="C63" s="5">
        <f>IF($B63="","",IFERROR(INDEX('DM_DoiTuong'!$B$2:$B$19,AGGREGATE(15,6,ROW('DM_DoiTuong'!$B$2:$B$19)-ROW('DM_DoiTuong'!$B$2)+1/ISNUMBER(SEARCH(SUBSTITUTE(UPPER($B63)," ",""),'DM_DoiTuong'!$C$2:$C$19)),1)),"Không tìm thấy"))</f>
        <v/>
      </c>
      <c r="E63" s="5">
        <f>IF($C63="","",IFERROR(INDEX('DM_DiaDiemKham'!$B$2:$B$6,AGGREGATE(15,6,ROW('DM_DiaDiemKham'!$B$2:$B$6)-ROW('DM_DiaDiemKham'!$B$2)+1/ISNUMBER(SEARCH(SUBSTITUTE(UPPER($C63)," ",""),'DM_DiaDiemKham'!$C$2:$C$6)),1)),"Không tìm thấy"))</f>
        <v/>
      </c>
      <c r="G63" s="5">
        <f>IF($D63="","",IFERROR(INDEX('DM_HinhThucChiTra'!$B$2:$B$5,AGGREGATE(15,6,ROW('DM_HinhThucChiTra'!$B$2:$B$5)-ROW('DM_HinhThucChiTra'!$B$2)+1/ISNUMBER(SEARCH(SUBSTITUTE(UPPER($D63)," ",""),'DM_HinhThucChiTra'!$C$2:$C$5)),1)),"Không tìm thấy"))</f>
        <v/>
      </c>
      <c r="I63" s="5">
        <f>IF($E63="","",IFERROR(INDEX('DM_HinhThucKham'!$B$2:$B$3,AGGREGATE(15,6,ROW('DM_HinhThucKham'!$B$2:$B$3)-ROW('DM_HinhThucKham'!$B$2)+1/ISNUMBER(SEARCH(SUBSTITUTE(UPPER($E63)," ",""),'DM_HinhThucKham'!$C$2:$C$3)),1)),"Không tìm thấy"))</f>
        <v/>
      </c>
      <c r="P63" s="5">
        <f>IF($K63="","",IFERROR(INDEX('DM_DanToc'!$B$2:$B$78,AGGREGATE(15,6,ROW('DM_DanToc'!$B$2:$B$78)-ROW('DM_DanToc'!$B$2)+1/ISNUMBER(SEARCH(SUBSTITUTE(UPPER($K63)," ",""),'DM_DanToc'!$C$2:$C$78)),1)),"Không tìm thấy"))</f>
        <v/>
      </c>
      <c r="W63" s="5">
        <f>IF($Q63="","",IFERROR(INDEX('DM_TinhThanh'!$B$2:$B$35,AGGREGATE(15,6,ROW('DM_TinhThanh'!$B$2:$B$35)-ROW('DM_TinhThanh'!$B$2)+1/ISNUMBER(SEARCH(SUBSTITUTE(UPPER($Q63)," ",""),'DM_TinhThanh'!$C$2:$C$35)),1)),"Không tìm thấy"))</f>
        <v/>
      </c>
      <c r="Y63" s="5">
        <f>IF($R63="","",IFERROR(INDEX('DM_XaPhuong'!$B$2:$B$169,AGGREGATE(15,6,ROW('DM_XaPhuong'!$B$2:$B$169)-ROW('DM_XaPhuong'!$B$2)+1/ISNUMBER(SEARCH(SUBSTITUTE(UPPER($R63)," ",""),'DM_XaPhuong'!$C$2:$C$169)),1)),"Không tìm thấy"))</f>
        <v/>
      </c>
      <c r="AB63" s="5">
        <f>IF($T63="","",IFERROR(INDEX('DM_NgheNghiep'!$B$2:$B$11,AGGREGATE(15,6,ROW('DM_NgheNghiep'!$B$2:$B$11)-ROW('DM_NgheNghiep'!$B$2)+1/ISNUMBER(SEARCH(SUBSTITUTE(UPPER($T63)," ",""),'DM_NgheNghiep'!$C$2:$C$11)),1)),"Không tìm thấy"))</f>
        <v/>
      </c>
      <c r="AD63" s="5">
        <f>IF($U63="","",IFERROR(INDEX('DM_NoiCongTac'!$B$2:$B$11,AGGREGATE(15,6,ROW('DM_NoiCongTac'!$B$2:$B$11)-ROW('DM_NoiCongTac'!$B$2)+1/ISNUMBER(SEARCH(SUBSTITUTE(UPPER($U63)," ",""),'DM_NoiCongTac'!$C$2:$C$11)),1)),"Không tìm thấy"))</f>
        <v/>
      </c>
      <c r="AF63" s="5">
        <f>IF($V63="","",IFERROR(INDEX('DM_XaPhuong'!$B$2:$B$169,AGGREGATE(15,6,ROW('DM_XaPhuong'!$B$2:$B$169)-ROW('DM_XaPhuong'!$B$2)+1/ISNUMBER(SEARCH(SUBSTITUTE(UPPER($V63)," ",""),'DM_XaPhuong'!$C$2:$C$169)),1)),"Không tìm thấy"))</f>
        <v/>
      </c>
    </row>
    <row r="64">
      <c r="C64" s="5">
        <f>IF($B64="","",IFERROR(INDEX('DM_DoiTuong'!$B$2:$B$19,AGGREGATE(15,6,ROW('DM_DoiTuong'!$B$2:$B$19)-ROW('DM_DoiTuong'!$B$2)+1/ISNUMBER(SEARCH(SUBSTITUTE(UPPER($B64)," ",""),'DM_DoiTuong'!$C$2:$C$19)),1)),"Không tìm thấy"))</f>
        <v/>
      </c>
      <c r="E64" s="5">
        <f>IF($C64="","",IFERROR(INDEX('DM_DiaDiemKham'!$B$2:$B$6,AGGREGATE(15,6,ROW('DM_DiaDiemKham'!$B$2:$B$6)-ROW('DM_DiaDiemKham'!$B$2)+1/ISNUMBER(SEARCH(SUBSTITUTE(UPPER($C64)," ",""),'DM_DiaDiemKham'!$C$2:$C$6)),1)),"Không tìm thấy"))</f>
        <v/>
      </c>
      <c r="G64" s="5">
        <f>IF($D64="","",IFERROR(INDEX('DM_HinhThucChiTra'!$B$2:$B$5,AGGREGATE(15,6,ROW('DM_HinhThucChiTra'!$B$2:$B$5)-ROW('DM_HinhThucChiTra'!$B$2)+1/ISNUMBER(SEARCH(SUBSTITUTE(UPPER($D64)," ",""),'DM_HinhThucChiTra'!$C$2:$C$5)),1)),"Không tìm thấy"))</f>
        <v/>
      </c>
      <c r="I64" s="5">
        <f>IF($E64="","",IFERROR(INDEX('DM_HinhThucKham'!$B$2:$B$3,AGGREGATE(15,6,ROW('DM_HinhThucKham'!$B$2:$B$3)-ROW('DM_HinhThucKham'!$B$2)+1/ISNUMBER(SEARCH(SUBSTITUTE(UPPER($E64)," ",""),'DM_HinhThucKham'!$C$2:$C$3)),1)),"Không tìm thấy"))</f>
        <v/>
      </c>
      <c r="P64" s="5">
        <f>IF($K64="","",IFERROR(INDEX('DM_DanToc'!$B$2:$B$78,AGGREGATE(15,6,ROW('DM_DanToc'!$B$2:$B$78)-ROW('DM_DanToc'!$B$2)+1/ISNUMBER(SEARCH(SUBSTITUTE(UPPER($K64)," ",""),'DM_DanToc'!$C$2:$C$78)),1)),"Không tìm thấy"))</f>
        <v/>
      </c>
      <c r="W64" s="5">
        <f>IF($Q64="","",IFERROR(INDEX('DM_TinhThanh'!$B$2:$B$35,AGGREGATE(15,6,ROW('DM_TinhThanh'!$B$2:$B$35)-ROW('DM_TinhThanh'!$B$2)+1/ISNUMBER(SEARCH(SUBSTITUTE(UPPER($Q64)," ",""),'DM_TinhThanh'!$C$2:$C$35)),1)),"Không tìm thấy"))</f>
        <v/>
      </c>
      <c r="Y64" s="5">
        <f>IF($R64="","",IFERROR(INDEX('DM_XaPhuong'!$B$2:$B$169,AGGREGATE(15,6,ROW('DM_XaPhuong'!$B$2:$B$169)-ROW('DM_XaPhuong'!$B$2)+1/ISNUMBER(SEARCH(SUBSTITUTE(UPPER($R64)," ",""),'DM_XaPhuong'!$C$2:$C$169)),1)),"Không tìm thấy"))</f>
        <v/>
      </c>
      <c r="AB64" s="5">
        <f>IF($T64="","",IFERROR(INDEX('DM_NgheNghiep'!$B$2:$B$11,AGGREGATE(15,6,ROW('DM_NgheNghiep'!$B$2:$B$11)-ROW('DM_NgheNghiep'!$B$2)+1/ISNUMBER(SEARCH(SUBSTITUTE(UPPER($T64)," ",""),'DM_NgheNghiep'!$C$2:$C$11)),1)),"Không tìm thấy"))</f>
        <v/>
      </c>
      <c r="AD64" s="5">
        <f>IF($U64="","",IFERROR(INDEX('DM_NoiCongTac'!$B$2:$B$11,AGGREGATE(15,6,ROW('DM_NoiCongTac'!$B$2:$B$11)-ROW('DM_NoiCongTac'!$B$2)+1/ISNUMBER(SEARCH(SUBSTITUTE(UPPER($U64)," ",""),'DM_NoiCongTac'!$C$2:$C$11)),1)),"Không tìm thấy"))</f>
        <v/>
      </c>
      <c r="AF64" s="5">
        <f>IF($V64="","",IFERROR(INDEX('DM_XaPhuong'!$B$2:$B$169,AGGREGATE(15,6,ROW('DM_XaPhuong'!$B$2:$B$169)-ROW('DM_XaPhuong'!$B$2)+1/ISNUMBER(SEARCH(SUBSTITUTE(UPPER($V64)," ",""),'DM_XaPhuong'!$C$2:$C$169)),1)),"Không tìm thấy"))</f>
        <v/>
      </c>
    </row>
    <row r="65">
      <c r="C65" s="5">
        <f>IF($B65="","",IFERROR(INDEX('DM_DoiTuong'!$B$2:$B$19,AGGREGATE(15,6,ROW('DM_DoiTuong'!$B$2:$B$19)-ROW('DM_DoiTuong'!$B$2)+1/ISNUMBER(SEARCH(SUBSTITUTE(UPPER($B65)," ",""),'DM_DoiTuong'!$C$2:$C$19)),1)),"Không tìm thấy"))</f>
        <v/>
      </c>
      <c r="E65" s="5">
        <f>IF($C65="","",IFERROR(INDEX('DM_DiaDiemKham'!$B$2:$B$6,AGGREGATE(15,6,ROW('DM_DiaDiemKham'!$B$2:$B$6)-ROW('DM_DiaDiemKham'!$B$2)+1/ISNUMBER(SEARCH(SUBSTITUTE(UPPER($C65)," ",""),'DM_DiaDiemKham'!$C$2:$C$6)),1)),"Không tìm thấy"))</f>
        <v/>
      </c>
      <c r="G65" s="5">
        <f>IF($D65="","",IFERROR(INDEX('DM_HinhThucChiTra'!$B$2:$B$5,AGGREGATE(15,6,ROW('DM_HinhThucChiTra'!$B$2:$B$5)-ROW('DM_HinhThucChiTra'!$B$2)+1/ISNUMBER(SEARCH(SUBSTITUTE(UPPER($D65)," ",""),'DM_HinhThucChiTra'!$C$2:$C$5)),1)),"Không tìm thấy"))</f>
        <v/>
      </c>
      <c r="I65" s="5">
        <f>IF($E65="","",IFERROR(INDEX('DM_HinhThucKham'!$B$2:$B$3,AGGREGATE(15,6,ROW('DM_HinhThucKham'!$B$2:$B$3)-ROW('DM_HinhThucKham'!$B$2)+1/ISNUMBER(SEARCH(SUBSTITUTE(UPPER($E65)," ",""),'DM_HinhThucKham'!$C$2:$C$3)),1)),"Không tìm thấy"))</f>
        <v/>
      </c>
      <c r="P65" s="5">
        <f>IF($K65="","",IFERROR(INDEX('DM_DanToc'!$B$2:$B$78,AGGREGATE(15,6,ROW('DM_DanToc'!$B$2:$B$78)-ROW('DM_DanToc'!$B$2)+1/ISNUMBER(SEARCH(SUBSTITUTE(UPPER($K65)," ",""),'DM_DanToc'!$C$2:$C$78)),1)),"Không tìm thấy"))</f>
        <v/>
      </c>
      <c r="W65" s="5">
        <f>IF($Q65="","",IFERROR(INDEX('DM_TinhThanh'!$B$2:$B$35,AGGREGATE(15,6,ROW('DM_TinhThanh'!$B$2:$B$35)-ROW('DM_TinhThanh'!$B$2)+1/ISNUMBER(SEARCH(SUBSTITUTE(UPPER($Q65)," ",""),'DM_TinhThanh'!$C$2:$C$35)),1)),"Không tìm thấy"))</f>
        <v/>
      </c>
      <c r="Y65" s="5">
        <f>IF($R65="","",IFERROR(INDEX('DM_XaPhuong'!$B$2:$B$169,AGGREGATE(15,6,ROW('DM_XaPhuong'!$B$2:$B$169)-ROW('DM_XaPhuong'!$B$2)+1/ISNUMBER(SEARCH(SUBSTITUTE(UPPER($R65)," ",""),'DM_XaPhuong'!$C$2:$C$169)),1)),"Không tìm thấy"))</f>
        <v/>
      </c>
      <c r="AB65" s="5">
        <f>IF($T65="","",IFERROR(INDEX('DM_NgheNghiep'!$B$2:$B$11,AGGREGATE(15,6,ROW('DM_NgheNghiep'!$B$2:$B$11)-ROW('DM_NgheNghiep'!$B$2)+1/ISNUMBER(SEARCH(SUBSTITUTE(UPPER($T65)," ",""),'DM_NgheNghiep'!$C$2:$C$11)),1)),"Không tìm thấy"))</f>
        <v/>
      </c>
      <c r="AD65" s="5">
        <f>IF($U65="","",IFERROR(INDEX('DM_NoiCongTac'!$B$2:$B$11,AGGREGATE(15,6,ROW('DM_NoiCongTac'!$B$2:$B$11)-ROW('DM_NoiCongTac'!$B$2)+1/ISNUMBER(SEARCH(SUBSTITUTE(UPPER($U65)," ",""),'DM_NoiCongTac'!$C$2:$C$11)),1)),"Không tìm thấy"))</f>
        <v/>
      </c>
      <c r="AF65" s="5">
        <f>IF($V65="","",IFERROR(INDEX('DM_XaPhuong'!$B$2:$B$169,AGGREGATE(15,6,ROW('DM_XaPhuong'!$B$2:$B$169)-ROW('DM_XaPhuong'!$B$2)+1/ISNUMBER(SEARCH(SUBSTITUTE(UPPER($V65)," ",""),'DM_XaPhuong'!$C$2:$C$169)),1)),"Không tìm thấy"))</f>
        <v/>
      </c>
    </row>
    <row r="66">
      <c r="C66" s="5">
        <f>IF($B66="","",IFERROR(INDEX('DM_DoiTuong'!$B$2:$B$19,AGGREGATE(15,6,ROW('DM_DoiTuong'!$B$2:$B$19)-ROW('DM_DoiTuong'!$B$2)+1/ISNUMBER(SEARCH(SUBSTITUTE(UPPER($B66)," ",""),'DM_DoiTuong'!$C$2:$C$19)),1)),"Không tìm thấy"))</f>
        <v/>
      </c>
      <c r="E66" s="5">
        <f>IF($C66="","",IFERROR(INDEX('DM_DiaDiemKham'!$B$2:$B$6,AGGREGATE(15,6,ROW('DM_DiaDiemKham'!$B$2:$B$6)-ROW('DM_DiaDiemKham'!$B$2)+1/ISNUMBER(SEARCH(SUBSTITUTE(UPPER($C66)," ",""),'DM_DiaDiemKham'!$C$2:$C$6)),1)),"Không tìm thấy"))</f>
        <v/>
      </c>
      <c r="G66" s="5">
        <f>IF($D66="","",IFERROR(INDEX('DM_HinhThucChiTra'!$B$2:$B$5,AGGREGATE(15,6,ROW('DM_HinhThucChiTra'!$B$2:$B$5)-ROW('DM_HinhThucChiTra'!$B$2)+1/ISNUMBER(SEARCH(SUBSTITUTE(UPPER($D66)," ",""),'DM_HinhThucChiTra'!$C$2:$C$5)),1)),"Không tìm thấy"))</f>
        <v/>
      </c>
      <c r="I66" s="5">
        <f>IF($E66="","",IFERROR(INDEX('DM_HinhThucKham'!$B$2:$B$3,AGGREGATE(15,6,ROW('DM_HinhThucKham'!$B$2:$B$3)-ROW('DM_HinhThucKham'!$B$2)+1/ISNUMBER(SEARCH(SUBSTITUTE(UPPER($E66)," ",""),'DM_HinhThucKham'!$C$2:$C$3)),1)),"Không tìm thấy"))</f>
        <v/>
      </c>
      <c r="P66" s="5">
        <f>IF($K66="","",IFERROR(INDEX('DM_DanToc'!$B$2:$B$78,AGGREGATE(15,6,ROW('DM_DanToc'!$B$2:$B$78)-ROW('DM_DanToc'!$B$2)+1/ISNUMBER(SEARCH(SUBSTITUTE(UPPER($K66)," ",""),'DM_DanToc'!$C$2:$C$78)),1)),"Không tìm thấy"))</f>
        <v/>
      </c>
      <c r="W66" s="5">
        <f>IF($Q66="","",IFERROR(INDEX('DM_TinhThanh'!$B$2:$B$35,AGGREGATE(15,6,ROW('DM_TinhThanh'!$B$2:$B$35)-ROW('DM_TinhThanh'!$B$2)+1/ISNUMBER(SEARCH(SUBSTITUTE(UPPER($Q66)," ",""),'DM_TinhThanh'!$C$2:$C$35)),1)),"Không tìm thấy"))</f>
        <v/>
      </c>
      <c r="Y66" s="5">
        <f>IF($R66="","",IFERROR(INDEX('DM_XaPhuong'!$B$2:$B$169,AGGREGATE(15,6,ROW('DM_XaPhuong'!$B$2:$B$169)-ROW('DM_XaPhuong'!$B$2)+1/ISNUMBER(SEARCH(SUBSTITUTE(UPPER($R66)," ",""),'DM_XaPhuong'!$C$2:$C$169)),1)),"Không tìm thấy"))</f>
        <v/>
      </c>
      <c r="AB66" s="5">
        <f>IF($T66="","",IFERROR(INDEX('DM_NgheNghiep'!$B$2:$B$11,AGGREGATE(15,6,ROW('DM_NgheNghiep'!$B$2:$B$11)-ROW('DM_NgheNghiep'!$B$2)+1/ISNUMBER(SEARCH(SUBSTITUTE(UPPER($T66)," ",""),'DM_NgheNghiep'!$C$2:$C$11)),1)),"Không tìm thấy"))</f>
        <v/>
      </c>
      <c r="AD66" s="5">
        <f>IF($U66="","",IFERROR(INDEX('DM_NoiCongTac'!$B$2:$B$11,AGGREGATE(15,6,ROW('DM_NoiCongTac'!$B$2:$B$11)-ROW('DM_NoiCongTac'!$B$2)+1/ISNUMBER(SEARCH(SUBSTITUTE(UPPER($U66)," ",""),'DM_NoiCongTac'!$C$2:$C$11)),1)),"Không tìm thấy"))</f>
        <v/>
      </c>
      <c r="AF66" s="5">
        <f>IF($V66="","",IFERROR(INDEX('DM_XaPhuong'!$B$2:$B$169,AGGREGATE(15,6,ROW('DM_XaPhuong'!$B$2:$B$169)-ROW('DM_XaPhuong'!$B$2)+1/ISNUMBER(SEARCH(SUBSTITUTE(UPPER($V66)," ",""),'DM_XaPhuong'!$C$2:$C$169)),1)),"Không tìm thấy"))</f>
        <v/>
      </c>
    </row>
    <row r="67">
      <c r="C67" s="5">
        <f>IF($B67="","",IFERROR(INDEX('DM_DoiTuong'!$B$2:$B$19,AGGREGATE(15,6,ROW('DM_DoiTuong'!$B$2:$B$19)-ROW('DM_DoiTuong'!$B$2)+1/ISNUMBER(SEARCH(SUBSTITUTE(UPPER($B67)," ",""),'DM_DoiTuong'!$C$2:$C$19)),1)),"Không tìm thấy"))</f>
        <v/>
      </c>
      <c r="E67" s="5">
        <f>IF($C67="","",IFERROR(INDEX('DM_DiaDiemKham'!$B$2:$B$6,AGGREGATE(15,6,ROW('DM_DiaDiemKham'!$B$2:$B$6)-ROW('DM_DiaDiemKham'!$B$2)+1/ISNUMBER(SEARCH(SUBSTITUTE(UPPER($C67)," ",""),'DM_DiaDiemKham'!$C$2:$C$6)),1)),"Không tìm thấy"))</f>
        <v/>
      </c>
      <c r="G67" s="5">
        <f>IF($D67="","",IFERROR(INDEX('DM_HinhThucChiTra'!$B$2:$B$5,AGGREGATE(15,6,ROW('DM_HinhThucChiTra'!$B$2:$B$5)-ROW('DM_HinhThucChiTra'!$B$2)+1/ISNUMBER(SEARCH(SUBSTITUTE(UPPER($D67)," ",""),'DM_HinhThucChiTra'!$C$2:$C$5)),1)),"Không tìm thấy"))</f>
        <v/>
      </c>
      <c r="I67" s="5">
        <f>IF($E67="","",IFERROR(INDEX('DM_HinhThucKham'!$B$2:$B$3,AGGREGATE(15,6,ROW('DM_HinhThucKham'!$B$2:$B$3)-ROW('DM_HinhThucKham'!$B$2)+1/ISNUMBER(SEARCH(SUBSTITUTE(UPPER($E67)," ",""),'DM_HinhThucKham'!$C$2:$C$3)),1)),"Không tìm thấy"))</f>
        <v/>
      </c>
      <c r="P67" s="5">
        <f>IF($K67="","",IFERROR(INDEX('DM_DanToc'!$B$2:$B$78,AGGREGATE(15,6,ROW('DM_DanToc'!$B$2:$B$78)-ROW('DM_DanToc'!$B$2)+1/ISNUMBER(SEARCH(SUBSTITUTE(UPPER($K67)," ",""),'DM_DanToc'!$C$2:$C$78)),1)),"Không tìm thấy"))</f>
        <v/>
      </c>
      <c r="W67" s="5">
        <f>IF($Q67="","",IFERROR(INDEX('DM_TinhThanh'!$B$2:$B$35,AGGREGATE(15,6,ROW('DM_TinhThanh'!$B$2:$B$35)-ROW('DM_TinhThanh'!$B$2)+1/ISNUMBER(SEARCH(SUBSTITUTE(UPPER($Q67)," ",""),'DM_TinhThanh'!$C$2:$C$35)),1)),"Không tìm thấy"))</f>
        <v/>
      </c>
      <c r="Y67" s="5">
        <f>IF($R67="","",IFERROR(INDEX('DM_XaPhuong'!$B$2:$B$169,AGGREGATE(15,6,ROW('DM_XaPhuong'!$B$2:$B$169)-ROW('DM_XaPhuong'!$B$2)+1/ISNUMBER(SEARCH(SUBSTITUTE(UPPER($R67)," ",""),'DM_XaPhuong'!$C$2:$C$169)),1)),"Không tìm thấy"))</f>
        <v/>
      </c>
      <c r="AB67" s="5">
        <f>IF($T67="","",IFERROR(INDEX('DM_NgheNghiep'!$B$2:$B$11,AGGREGATE(15,6,ROW('DM_NgheNghiep'!$B$2:$B$11)-ROW('DM_NgheNghiep'!$B$2)+1/ISNUMBER(SEARCH(SUBSTITUTE(UPPER($T67)," ",""),'DM_NgheNghiep'!$C$2:$C$11)),1)),"Không tìm thấy"))</f>
        <v/>
      </c>
      <c r="AD67" s="5">
        <f>IF($U67="","",IFERROR(INDEX('DM_NoiCongTac'!$B$2:$B$11,AGGREGATE(15,6,ROW('DM_NoiCongTac'!$B$2:$B$11)-ROW('DM_NoiCongTac'!$B$2)+1/ISNUMBER(SEARCH(SUBSTITUTE(UPPER($U67)," ",""),'DM_NoiCongTac'!$C$2:$C$11)),1)),"Không tìm thấy"))</f>
        <v/>
      </c>
      <c r="AF67" s="5">
        <f>IF($V67="","",IFERROR(INDEX('DM_XaPhuong'!$B$2:$B$169,AGGREGATE(15,6,ROW('DM_XaPhuong'!$B$2:$B$169)-ROW('DM_XaPhuong'!$B$2)+1/ISNUMBER(SEARCH(SUBSTITUTE(UPPER($V67)," ",""),'DM_XaPhuong'!$C$2:$C$169)),1)),"Không tìm thấy"))</f>
        <v/>
      </c>
    </row>
    <row r="68">
      <c r="C68" s="5">
        <f>IF($B68="","",IFERROR(INDEX('DM_DoiTuong'!$B$2:$B$19,AGGREGATE(15,6,ROW('DM_DoiTuong'!$B$2:$B$19)-ROW('DM_DoiTuong'!$B$2)+1/ISNUMBER(SEARCH(SUBSTITUTE(UPPER($B68)," ",""),'DM_DoiTuong'!$C$2:$C$19)),1)),"Không tìm thấy"))</f>
        <v/>
      </c>
      <c r="E68" s="5">
        <f>IF($C68="","",IFERROR(INDEX('DM_DiaDiemKham'!$B$2:$B$6,AGGREGATE(15,6,ROW('DM_DiaDiemKham'!$B$2:$B$6)-ROW('DM_DiaDiemKham'!$B$2)+1/ISNUMBER(SEARCH(SUBSTITUTE(UPPER($C68)," ",""),'DM_DiaDiemKham'!$C$2:$C$6)),1)),"Không tìm thấy"))</f>
        <v/>
      </c>
      <c r="G68" s="5">
        <f>IF($D68="","",IFERROR(INDEX('DM_HinhThucChiTra'!$B$2:$B$5,AGGREGATE(15,6,ROW('DM_HinhThucChiTra'!$B$2:$B$5)-ROW('DM_HinhThucChiTra'!$B$2)+1/ISNUMBER(SEARCH(SUBSTITUTE(UPPER($D68)," ",""),'DM_HinhThucChiTra'!$C$2:$C$5)),1)),"Không tìm thấy"))</f>
        <v/>
      </c>
      <c r="I68" s="5">
        <f>IF($E68="","",IFERROR(INDEX('DM_HinhThucKham'!$B$2:$B$3,AGGREGATE(15,6,ROW('DM_HinhThucKham'!$B$2:$B$3)-ROW('DM_HinhThucKham'!$B$2)+1/ISNUMBER(SEARCH(SUBSTITUTE(UPPER($E68)," ",""),'DM_HinhThucKham'!$C$2:$C$3)),1)),"Không tìm thấy"))</f>
        <v/>
      </c>
      <c r="P68" s="5">
        <f>IF($K68="","",IFERROR(INDEX('DM_DanToc'!$B$2:$B$78,AGGREGATE(15,6,ROW('DM_DanToc'!$B$2:$B$78)-ROW('DM_DanToc'!$B$2)+1/ISNUMBER(SEARCH(SUBSTITUTE(UPPER($K68)," ",""),'DM_DanToc'!$C$2:$C$78)),1)),"Không tìm thấy"))</f>
        <v/>
      </c>
      <c r="W68" s="5">
        <f>IF($Q68="","",IFERROR(INDEX('DM_TinhThanh'!$B$2:$B$35,AGGREGATE(15,6,ROW('DM_TinhThanh'!$B$2:$B$35)-ROW('DM_TinhThanh'!$B$2)+1/ISNUMBER(SEARCH(SUBSTITUTE(UPPER($Q68)," ",""),'DM_TinhThanh'!$C$2:$C$35)),1)),"Không tìm thấy"))</f>
        <v/>
      </c>
      <c r="Y68" s="5">
        <f>IF($R68="","",IFERROR(INDEX('DM_XaPhuong'!$B$2:$B$169,AGGREGATE(15,6,ROW('DM_XaPhuong'!$B$2:$B$169)-ROW('DM_XaPhuong'!$B$2)+1/ISNUMBER(SEARCH(SUBSTITUTE(UPPER($R68)," ",""),'DM_XaPhuong'!$C$2:$C$169)),1)),"Không tìm thấy"))</f>
        <v/>
      </c>
      <c r="AB68" s="5">
        <f>IF($T68="","",IFERROR(INDEX('DM_NgheNghiep'!$B$2:$B$11,AGGREGATE(15,6,ROW('DM_NgheNghiep'!$B$2:$B$11)-ROW('DM_NgheNghiep'!$B$2)+1/ISNUMBER(SEARCH(SUBSTITUTE(UPPER($T68)," ",""),'DM_NgheNghiep'!$C$2:$C$11)),1)),"Không tìm thấy"))</f>
        <v/>
      </c>
      <c r="AD68" s="5">
        <f>IF($U68="","",IFERROR(INDEX('DM_NoiCongTac'!$B$2:$B$11,AGGREGATE(15,6,ROW('DM_NoiCongTac'!$B$2:$B$11)-ROW('DM_NoiCongTac'!$B$2)+1/ISNUMBER(SEARCH(SUBSTITUTE(UPPER($U68)," ",""),'DM_NoiCongTac'!$C$2:$C$11)),1)),"Không tìm thấy"))</f>
        <v/>
      </c>
      <c r="AF68" s="5">
        <f>IF($V68="","",IFERROR(INDEX('DM_XaPhuong'!$B$2:$B$169,AGGREGATE(15,6,ROW('DM_XaPhuong'!$B$2:$B$169)-ROW('DM_XaPhuong'!$B$2)+1/ISNUMBER(SEARCH(SUBSTITUTE(UPPER($V68)," ",""),'DM_XaPhuong'!$C$2:$C$169)),1)),"Không tìm thấy"))</f>
        <v/>
      </c>
    </row>
    <row r="69">
      <c r="C69" s="5">
        <f>IF($B69="","",IFERROR(INDEX('DM_DoiTuong'!$B$2:$B$19,AGGREGATE(15,6,ROW('DM_DoiTuong'!$B$2:$B$19)-ROW('DM_DoiTuong'!$B$2)+1/ISNUMBER(SEARCH(SUBSTITUTE(UPPER($B69)," ",""),'DM_DoiTuong'!$C$2:$C$19)),1)),"Không tìm thấy"))</f>
        <v/>
      </c>
      <c r="E69" s="5">
        <f>IF($C69="","",IFERROR(INDEX('DM_DiaDiemKham'!$B$2:$B$6,AGGREGATE(15,6,ROW('DM_DiaDiemKham'!$B$2:$B$6)-ROW('DM_DiaDiemKham'!$B$2)+1/ISNUMBER(SEARCH(SUBSTITUTE(UPPER($C69)," ",""),'DM_DiaDiemKham'!$C$2:$C$6)),1)),"Không tìm thấy"))</f>
        <v/>
      </c>
      <c r="G69" s="5">
        <f>IF($D69="","",IFERROR(INDEX('DM_HinhThucChiTra'!$B$2:$B$5,AGGREGATE(15,6,ROW('DM_HinhThucChiTra'!$B$2:$B$5)-ROW('DM_HinhThucChiTra'!$B$2)+1/ISNUMBER(SEARCH(SUBSTITUTE(UPPER($D69)," ",""),'DM_HinhThucChiTra'!$C$2:$C$5)),1)),"Không tìm thấy"))</f>
        <v/>
      </c>
      <c r="I69" s="5">
        <f>IF($E69="","",IFERROR(INDEX('DM_HinhThucKham'!$B$2:$B$3,AGGREGATE(15,6,ROW('DM_HinhThucKham'!$B$2:$B$3)-ROW('DM_HinhThucKham'!$B$2)+1/ISNUMBER(SEARCH(SUBSTITUTE(UPPER($E69)," ",""),'DM_HinhThucKham'!$C$2:$C$3)),1)),"Không tìm thấy"))</f>
        <v/>
      </c>
      <c r="P69" s="5">
        <f>IF($K69="","",IFERROR(INDEX('DM_DanToc'!$B$2:$B$78,AGGREGATE(15,6,ROW('DM_DanToc'!$B$2:$B$78)-ROW('DM_DanToc'!$B$2)+1/ISNUMBER(SEARCH(SUBSTITUTE(UPPER($K69)," ",""),'DM_DanToc'!$C$2:$C$78)),1)),"Không tìm thấy"))</f>
        <v/>
      </c>
      <c r="W69" s="5">
        <f>IF($Q69="","",IFERROR(INDEX('DM_TinhThanh'!$B$2:$B$35,AGGREGATE(15,6,ROW('DM_TinhThanh'!$B$2:$B$35)-ROW('DM_TinhThanh'!$B$2)+1/ISNUMBER(SEARCH(SUBSTITUTE(UPPER($Q69)," ",""),'DM_TinhThanh'!$C$2:$C$35)),1)),"Không tìm thấy"))</f>
        <v/>
      </c>
      <c r="Y69" s="5">
        <f>IF($R69="","",IFERROR(INDEX('DM_XaPhuong'!$B$2:$B$169,AGGREGATE(15,6,ROW('DM_XaPhuong'!$B$2:$B$169)-ROW('DM_XaPhuong'!$B$2)+1/ISNUMBER(SEARCH(SUBSTITUTE(UPPER($R69)," ",""),'DM_XaPhuong'!$C$2:$C$169)),1)),"Không tìm thấy"))</f>
        <v/>
      </c>
      <c r="AB69" s="5">
        <f>IF($T69="","",IFERROR(INDEX('DM_NgheNghiep'!$B$2:$B$11,AGGREGATE(15,6,ROW('DM_NgheNghiep'!$B$2:$B$11)-ROW('DM_NgheNghiep'!$B$2)+1/ISNUMBER(SEARCH(SUBSTITUTE(UPPER($T69)," ",""),'DM_NgheNghiep'!$C$2:$C$11)),1)),"Không tìm thấy"))</f>
        <v/>
      </c>
      <c r="AD69" s="5">
        <f>IF($U69="","",IFERROR(INDEX('DM_NoiCongTac'!$B$2:$B$11,AGGREGATE(15,6,ROW('DM_NoiCongTac'!$B$2:$B$11)-ROW('DM_NoiCongTac'!$B$2)+1/ISNUMBER(SEARCH(SUBSTITUTE(UPPER($U69)," ",""),'DM_NoiCongTac'!$C$2:$C$11)),1)),"Không tìm thấy"))</f>
        <v/>
      </c>
      <c r="AF69" s="5">
        <f>IF($V69="","",IFERROR(INDEX('DM_XaPhuong'!$B$2:$B$169,AGGREGATE(15,6,ROW('DM_XaPhuong'!$B$2:$B$169)-ROW('DM_XaPhuong'!$B$2)+1/ISNUMBER(SEARCH(SUBSTITUTE(UPPER($V69)," ",""),'DM_XaPhuong'!$C$2:$C$169)),1)),"Không tìm thấy"))</f>
        <v/>
      </c>
    </row>
    <row r="70">
      <c r="C70" s="5">
        <f>IF($B70="","",IFERROR(INDEX('DM_DoiTuong'!$B$2:$B$19,AGGREGATE(15,6,ROW('DM_DoiTuong'!$B$2:$B$19)-ROW('DM_DoiTuong'!$B$2)+1/ISNUMBER(SEARCH(SUBSTITUTE(UPPER($B70)," ",""),'DM_DoiTuong'!$C$2:$C$19)),1)),"Không tìm thấy"))</f>
        <v/>
      </c>
      <c r="E70" s="5">
        <f>IF($C70="","",IFERROR(INDEX('DM_DiaDiemKham'!$B$2:$B$6,AGGREGATE(15,6,ROW('DM_DiaDiemKham'!$B$2:$B$6)-ROW('DM_DiaDiemKham'!$B$2)+1/ISNUMBER(SEARCH(SUBSTITUTE(UPPER($C70)," ",""),'DM_DiaDiemKham'!$C$2:$C$6)),1)),"Không tìm thấy"))</f>
        <v/>
      </c>
      <c r="G70" s="5">
        <f>IF($D70="","",IFERROR(INDEX('DM_HinhThucChiTra'!$B$2:$B$5,AGGREGATE(15,6,ROW('DM_HinhThucChiTra'!$B$2:$B$5)-ROW('DM_HinhThucChiTra'!$B$2)+1/ISNUMBER(SEARCH(SUBSTITUTE(UPPER($D70)," ",""),'DM_HinhThucChiTra'!$C$2:$C$5)),1)),"Không tìm thấy"))</f>
        <v/>
      </c>
      <c r="I70" s="5">
        <f>IF($E70="","",IFERROR(INDEX('DM_HinhThucKham'!$B$2:$B$3,AGGREGATE(15,6,ROW('DM_HinhThucKham'!$B$2:$B$3)-ROW('DM_HinhThucKham'!$B$2)+1/ISNUMBER(SEARCH(SUBSTITUTE(UPPER($E70)," ",""),'DM_HinhThucKham'!$C$2:$C$3)),1)),"Không tìm thấy"))</f>
        <v/>
      </c>
      <c r="P70" s="5">
        <f>IF($K70="","",IFERROR(INDEX('DM_DanToc'!$B$2:$B$78,AGGREGATE(15,6,ROW('DM_DanToc'!$B$2:$B$78)-ROW('DM_DanToc'!$B$2)+1/ISNUMBER(SEARCH(SUBSTITUTE(UPPER($K70)," ",""),'DM_DanToc'!$C$2:$C$78)),1)),"Không tìm thấy"))</f>
        <v/>
      </c>
      <c r="W70" s="5">
        <f>IF($Q70="","",IFERROR(INDEX('DM_TinhThanh'!$B$2:$B$35,AGGREGATE(15,6,ROW('DM_TinhThanh'!$B$2:$B$35)-ROW('DM_TinhThanh'!$B$2)+1/ISNUMBER(SEARCH(SUBSTITUTE(UPPER($Q70)," ",""),'DM_TinhThanh'!$C$2:$C$35)),1)),"Không tìm thấy"))</f>
        <v/>
      </c>
      <c r="Y70" s="5">
        <f>IF($R70="","",IFERROR(INDEX('DM_XaPhuong'!$B$2:$B$169,AGGREGATE(15,6,ROW('DM_XaPhuong'!$B$2:$B$169)-ROW('DM_XaPhuong'!$B$2)+1/ISNUMBER(SEARCH(SUBSTITUTE(UPPER($R70)," ",""),'DM_XaPhuong'!$C$2:$C$169)),1)),"Không tìm thấy"))</f>
        <v/>
      </c>
      <c r="AB70" s="5">
        <f>IF($T70="","",IFERROR(INDEX('DM_NgheNghiep'!$B$2:$B$11,AGGREGATE(15,6,ROW('DM_NgheNghiep'!$B$2:$B$11)-ROW('DM_NgheNghiep'!$B$2)+1/ISNUMBER(SEARCH(SUBSTITUTE(UPPER($T70)," ",""),'DM_NgheNghiep'!$C$2:$C$11)),1)),"Không tìm thấy"))</f>
        <v/>
      </c>
      <c r="AD70" s="5">
        <f>IF($U70="","",IFERROR(INDEX('DM_NoiCongTac'!$B$2:$B$11,AGGREGATE(15,6,ROW('DM_NoiCongTac'!$B$2:$B$11)-ROW('DM_NoiCongTac'!$B$2)+1/ISNUMBER(SEARCH(SUBSTITUTE(UPPER($U70)," ",""),'DM_NoiCongTac'!$C$2:$C$11)),1)),"Không tìm thấy"))</f>
        <v/>
      </c>
      <c r="AF70" s="5">
        <f>IF($V70="","",IFERROR(INDEX('DM_XaPhuong'!$B$2:$B$169,AGGREGATE(15,6,ROW('DM_XaPhuong'!$B$2:$B$169)-ROW('DM_XaPhuong'!$B$2)+1/ISNUMBER(SEARCH(SUBSTITUTE(UPPER($V70)," ",""),'DM_XaPhuong'!$C$2:$C$169)),1)),"Không tìm thấy"))</f>
        <v/>
      </c>
    </row>
    <row r="71">
      <c r="C71" s="5">
        <f>IF($B71="","",IFERROR(INDEX('DM_DoiTuong'!$B$2:$B$19,AGGREGATE(15,6,ROW('DM_DoiTuong'!$B$2:$B$19)-ROW('DM_DoiTuong'!$B$2)+1/ISNUMBER(SEARCH(SUBSTITUTE(UPPER($B71)," ",""),'DM_DoiTuong'!$C$2:$C$19)),1)),"Không tìm thấy"))</f>
        <v/>
      </c>
      <c r="E71" s="5">
        <f>IF($C71="","",IFERROR(INDEX('DM_DiaDiemKham'!$B$2:$B$6,AGGREGATE(15,6,ROW('DM_DiaDiemKham'!$B$2:$B$6)-ROW('DM_DiaDiemKham'!$B$2)+1/ISNUMBER(SEARCH(SUBSTITUTE(UPPER($C71)," ",""),'DM_DiaDiemKham'!$C$2:$C$6)),1)),"Không tìm thấy"))</f>
        <v/>
      </c>
      <c r="G71" s="5">
        <f>IF($D71="","",IFERROR(INDEX('DM_HinhThucChiTra'!$B$2:$B$5,AGGREGATE(15,6,ROW('DM_HinhThucChiTra'!$B$2:$B$5)-ROW('DM_HinhThucChiTra'!$B$2)+1/ISNUMBER(SEARCH(SUBSTITUTE(UPPER($D71)," ",""),'DM_HinhThucChiTra'!$C$2:$C$5)),1)),"Không tìm thấy"))</f>
        <v/>
      </c>
      <c r="I71" s="5">
        <f>IF($E71="","",IFERROR(INDEX('DM_HinhThucKham'!$B$2:$B$3,AGGREGATE(15,6,ROW('DM_HinhThucKham'!$B$2:$B$3)-ROW('DM_HinhThucKham'!$B$2)+1/ISNUMBER(SEARCH(SUBSTITUTE(UPPER($E71)," ",""),'DM_HinhThucKham'!$C$2:$C$3)),1)),"Không tìm thấy"))</f>
        <v/>
      </c>
      <c r="P71" s="5">
        <f>IF($K71="","",IFERROR(INDEX('DM_DanToc'!$B$2:$B$78,AGGREGATE(15,6,ROW('DM_DanToc'!$B$2:$B$78)-ROW('DM_DanToc'!$B$2)+1/ISNUMBER(SEARCH(SUBSTITUTE(UPPER($K71)," ",""),'DM_DanToc'!$C$2:$C$78)),1)),"Không tìm thấy"))</f>
        <v/>
      </c>
      <c r="W71" s="5">
        <f>IF($Q71="","",IFERROR(INDEX('DM_TinhThanh'!$B$2:$B$35,AGGREGATE(15,6,ROW('DM_TinhThanh'!$B$2:$B$35)-ROW('DM_TinhThanh'!$B$2)+1/ISNUMBER(SEARCH(SUBSTITUTE(UPPER($Q71)," ",""),'DM_TinhThanh'!$C$2:$C$35)),1)),"Không tìm thấy"))</f>
        <v/>
      </c>
      <c r="Y71" s="5">
        <f>IF($R71="","",IFERROR(INDEX('DM_XaPhuong'!$B$2:$B$169,AGGREGATE(15,6,ROW('DM_XaPhuong'!$B$2:$B$169)-ROW('DM_XaPhuong'!$B$2)+1/ISNUMBER(SEARCH(SUBSTITUTE(UPPER($R71)," ",""),'DM_XaPhuong'!$C$2:$C$169)),1)),"Không tìm thấy"))</f>
        <v/>
      </c>
      <c r="AB71" s="5">
        <f>IF($T71="","",IFERROR(INDEX('DM_NgheNghiep'!$B$2:$B$11,AGGREGATE(15,6,ROW('DM_NgheNghiep'!$B$2:$B$11)-ROW('DM_NgheNghiep'!$B$2)+1/ISNUMBER(SEARCH(SUBSTITUTE(UPPER($T71)," ",""),'DM_NgheNghiep'!$C$2:$C$11)),1)),"Không tìm thấy"))</f>
        <v/>
      </c>
      <c r="AD71" s="5">
        <f>IF($U71="","",IFERROR(INDEX('DM_NoiCongTac'!$B$2:$B$11,AGGREGATE(15,6,ROW('DM_NoiCongTac'!$B$2:$B$11)-ROW('DM_NoiCongTac'!$B$2)+1/ISNUMBER(SEARCH(SUBSTITUTE(UPPER($U71)," ",""),'DM_NoiCongTac'!$C$2:$C$11)),1)),"Không tìm thấy"))</f>
        <v/>
      </c>
      <c r="AF71" s="5">
        <f>IF($V71="","",IFERROR(INDEX('DM_XaPhuong'!$B$2:$B$169,AGGREGATE(15,6,ROW('DM_XaPhuong'!$B$2:$B$169)-ROW('DM_XaPhuong'!$B$2)+1/ISNUMBER(SEARCH(SUBSTITUTE(UPPER($V71)," ",""),'DM_XaPhuong'!$C$2:$C$169)),1)),"Không tìm thấy"))</f>
        <v/>
      </c>
    </row>
    <row r="72">
      <c r="C72" s="5">
        <f>IF($B72="","",IFERROR(INDEX('DM_DoiTuong'!$B$2:$B$19,AGGREGATE(15,6,ROW('DM_DoiTuong'!$B$2:$B$19)-ROW('DM_DoiTuong'!$B$2)+1/ISNUMBER(SEARCH(SUBSTITUTE(UPPER($B72)," ",""),'DM_DoiTuong'!$C$2:$C$19)),1)),"Không tìm thấy"))</f>
        <v/>
      </c>
      <c r="E72" s="5">
        <f>IF($C72="","",IFERROR(INDEX('DM_DiaDiemKham'!$B$2:$B$6,AGGREGATE(15,6,ROW('DM_DiaDiemKham'!$B$2:$B$6)-ROW('DM_DiaDiemKham'!$B$2)+1/ISNUMBER(SEARCH(SUBSTITUTE(UPPER($C72)," ",""),'DM_DiaDiemKham'!$C$2:$C$6)),1)),"Không tìm thấy"))</f>
        <v/>
      </c>
      <c r="G72" s="5">
        <f>IF($D72="","",IFERROR(INDEX('DM_HinhThucChiTra'!$B$2:$B$5,AGGREGATE(15,6,ROW('DM_HinhThucChiTra'!$B$2:$B$5)-ROW('DM_HinhThucChiTra'!$B$2)+1/ISNUMBER(SEARCH(SUBSTITUTE(UPPER($D72)," ",""),'DM_HinhThucChiTra'!$C$2:$C$5)),1)),"Không tìm thấy"))</f>
        <v/>
      </c>
      <c r="I72" s="5">
        <f>IF($E72="","",IFERROR(INDEX('DM_HinhThucKham'!$B$2:$B$3,AGGREGATE(15,6,ROW('DM_HinhThucKham'!$B$2:$B$3)-ROW('DM_HinhThucKham'!$B$2)+1/ISNUMBER(SEARCH(SUBSTITUTE(UPPER($E72)," ",""),'DM_HinhThucKham'!$C$2:$C$3)),1)),"Không tìm thấy"))</f>
        <v/>
      </c>
      <c r="P72" s="5">
        <f>IF($K72="","",IFERROR(INDEX('DM_DanToc'!$B$2:$B$78,AGGREGATE(15,6,ROW('DM_DanToc'!$B$2:$B$78)-ROW('DM_DanToc'!$B$2)+1/ISNUMBER(SEARCH(SUBSTITUTE(UPPER($K72)," ",""),'DM_DanToc'!$C$2:$C$78)),1)),"Không tìm thấy"))</f>
        <v/>
      </c>
      <c r="W72" s="5">
        <f>IF($Q72="","",IFERROR(INDEX('DM_TinhThanh'!$B$2:$B$35,AGGREGATE(15,6,ROW('DM_TinhThanh'!$B$2:$B$35)-ROW('DM_TinhThanh'!$B$2)+1/ISNUMBER(SEARCH(SUBSTITUTE(UPPER($Q72)," ",""),'DM_TinhThanh'!$C$2:$C$35)),1)),"Không tìm thấy"))</f>
        <v/>
      </c>
      <c r="Y72" s="5">
        <f>IF($R72="","",IFERROR(INDEX('DM_XaPhuong'!$B$2:$B$169,AGGREGATE(15,6,ROW('DM_XaPhuong'!$B$2:$B$169)-ROW('DM_XaPhuong'!$B$2)+1/ISNUMBER(SEARCH(SUBSTITUTE(UPPER($R72)," ",""),'DM_XaPhuong'!$C$2:$C$169)),1)),"Không tìm thấy"))</f>
        <v/>
      </c>
      <c r="AB72" s="5">
        <f>IF($T72="","",IFERROR(INDEX('DM_NgheNghiep'!$B$2:$B$11,AGGREGATE(15,6,ROW('DM_NgheNghiep'!$B$2:$B$11)-ROW('DM_NgheNghiep'!$B$2)+1/ISNUMBER(SEARCH(SUBSTITUTE(UPPER($T72)," ",""),'DM_NgheNghiep'!$C$2:$C$11)),1)),"Không tìm thấy"))</f>
        <v/>
      </c>
      <c r="AD72" s="5">
        <f>IF($U72="","",IFERROR(INDEX('DM_NoiCongTac'!$B$2:$B$11,AGGREGATE(15,6,ROW('DM_NoiCongTac'!$B$2:$B$11)-ROW('DM_NoiCongTac'!$B$2)+1/ISNUMBER(SEARCH(SUBSTITUTE(UPPER($U72)," ",""),'DM_NoiCongTac'!$C$2:$C$11)),1)),"Không tìm thấy"))</f>
        <v/>
      </c>
      <c r="AF72" s="5">
        <f>IF($V72="","",IFERROR(INDEX('DM_XaPhuong'!$B$2:$B$169,AGGREGATE(15,6,ROW('DM_XaPhuong'!$B$2:$B$169)-ROW('DM_XaPhuong'!$B$2)+1/ISNUMBER(SEARCH(SUBSTITUTE(UPPER($V72)," ",""),'DM_XaPhuong'!$C$2:$C$169)),1)),"Không tìm thấy"))</f>
        <v/>
      </c>
    </row>
    <row r="73">
      <c r="C73" s="5">
        <f>IF($B73="","",IFERROR(INDEX('DM_DoiTuong'!$B$2:$B$19,AGGREGATE(15,6,ROW('DM_DoiTuong'!$B$2:$B$19)-ROW('DM_DoiTuong'!$B$2)+1/ISNUMBER(SEARCH(SUBSTITUTE(UPPER($B73)," ",""),'DM_DoiTuong'!$C$2:$C$19)),1)),"Không tìm thấy"))</f>
        <v/>
      </c>
      <c r="E73" s="5">
        <f>IF($C73="","",IFERROR(INDEX('DM_DiaDiemKham'!$B$2:$B$6,AGGREGATE(15,6,ROW('DM_DiaDiemKham'!$B$2:$B$6)-ROW('DM_DiaDiemKham'!$B$2)+1/ISNUMBER(SEARCH(SUBSTITUTE(UPPER($C73)," ",""),'DM_DiaDiemKham'!$C$2:$C$6)),1)),"Không tìm thấy"))</f>
        <v/>
      </c>
      <c r="G73" s="5">
        <f>IF($D73="","",IFERROR(INDEX('DM_HinhThucChiTra'!$B$2:$B$5,AGGREGATE(15,6,ROW('DM_HinhThucChiTra'!$B$2:$B$5)-ROW('DM_HinhThucChiTra'!$B$2)+1/ISNUMBER(SEARCH(SUBSTITUTE(UPPER($D73)," ",""),'DM_HinhThucChiTra'!$C$2:$C$5)),1)),"Không tìm thấy"))</f>
        <v/>
      </c>
      <c r="I73" s="5">
        <f>IF($E73="","",IFERROR(INDEX('DM_HinhThucKham'!$B$2:$B$3,AGGREGATE(15,6,ROW('DM_HinhThucKham'!$B$2:$B$3)-ROW('DM_HinhThucKham'!$B$2)+1/ISNUMBER(SEARCH(SUBSTITUTE(UPPER($E73)," ",""),'DM_HinhThucKham'!$C$2:$C$3)),1)),"Không tìm thấy"))</f>
        <v/>
      </c>
      <c r="P73" s="5">
        <f>IF($K73="","",IFERROR(INDEX('DM_DanToc'!$B$2:$B$78,AGGREGATE(15,6,ROW('DM_DanToc'!$B$2:$B$78)-ROW('DM_DanToc'!$B$2)+1/ISNUMBER(SEARCH(SUBSTITUTE(UPPER($K73)," ",""),'DM_DanToc'!$C$2:$C$78)),1)),"Không tìm thấy"))</f>
        <v/>
      </c>
      <c r="W73" s="5">
        <f>IF($Q73="","",IFERROR(INDEX('DM_TinhThanh'!$B$2:$B$35,AGGREGATE(15,6,ROW('DM_TinhThanh'!$B$2:$B$35)-ROW('DM_TinhThanh'!$B$2)+1/ISNUMBER(SEARCH(SUBSTITUTE(UPPER($Q73)," ",""),'DM_TinhThanh'!$C$2:$C$35)),1)),"Không tìm thấy"))</f>
        <v/>
      </c>
      <c r="Y73" s="5">
        <f>IF($R73="","",IFERROR(INDEX('DM_XaPhuong'!$B$2:$B$169,AGGREGATE(15,6,ROW('DM_XaPhuong'!$B$2:$B$169)-ROW('DM_XaPhuong'!$B$2)+1/ISNUMBER(SEARCH(SUBSTITUTE(UPPER($R73)," ",""),'DM_XaPhuong'!$C$2:$C$169)),1)),"Không tìm thấy"))</f>
        <v/>
      </c>
      <c r="AB73" s="5">
        <f>IF($T73="","",IFERROR(INDEX('DM_NgheNghiep'!$B$2:$B$11,AGGREGATE(15,6,ROW('DM_NgheNghiep'!$B$2:$B$11)-ROW('DM_NgheNghiep'!$B$2)+1/ISNUMBER(SEARCH(SUBSTITUTE(UPPER($T73)," ",""),'DM_NgheNghiep'!$C$2:$C$11)),1)),"Không tìm thấy"))</f>
        <v/>
      </c>
      <c r="AD73" s="5">
        <f>IF($U73="","",IFERROR(INDEX('DM_NoiCongTac'!$B$2:$B$11,AGGREGATE(15,6,ROW('DM_NoiCongTac'!$B$2:$B$11)-ROW('DM_NoiCongTac'!$B$2)+1/ISNUMBER(SEARCH(SUBSTITUTE(UPPER($U73)," ",""),'DM_NoiCongTac'!$C$2:$C$11)),1)),"Không tìm thấy"))</f>
        <v/>
      </c>
      <c r="AF73" s="5">
        <f>IF($V73="","",IFERROR(INDEX('DM_XaPhuong'!$B$2:$B$169,AGGREGATE(15,6,ROW('DM_XaPhuong'!$B$2:$B$169)-ROW('DM_XaPhuong'!$B$2)+1/ISNUMBER(SEARCH(SUBSTITUTE(UPPER($V73)," ",""),'DM_XaPhuong'!$C$2:$C$169)),1)),"Không tìm thấy"))</f>
        <v/>
      </c>
    </row>
    <row r="74">
      <c r="C74" s="5">
        <f>IF($B74="","",IFERROR(INDEX('DM_DoiTuong'!$B$2:$B$19,AGGREGATE(15,6,ROW('DM_DoiTuong'!$B$2:$B$19)-ROW('DM_DoiTuong'!$B$2)+1/ISNUMBER(SEARCH(SUBSTITUTE(UPPER($B74)," ",""),'DM_DoiTuong'!$C$2:$C$19)),1)),"Không tìm thấy"))</f>
        <v/>
      </c>
      <c r="E74" s="5">
        <f>IF($C74="","",IFERROR(INDEX('DM_DiaDiemKham'!$B$2:$B$6,AGGREGATE(15,6,ROW('DM_DiaDiemKham'!$B$2:$B$6)-ROW('DM_DiaDiemKham'!$B$2)+1/ISNUMBER(SEARCH(SUBSTITUTE(UPPER($C74)," ",""),'DM_DiaDiemKham'!$C$2:$C$6)),1)),"Không tìm thấy"))</f>
        <v/>
      </c>
      <c r="G74" s="5">
        <f>IF($D74="","",IFERROR(INDEX('DM_HinhThucChiTra'!$B$2:$B$5,AGGREGATE(15,6,ROW('DM_HinhThucChiTra'!$B$2:$B$5)-ROW('DM_HinhThucChiTra'!$B$2)+1/ISNUMBER(SEARCH(SUBSTITUTE(UPPER($D74)," ",""),'DM_HinhThucChiTra'!$C$2:$C$5)),1)),"Không tìm thấy"))</f>
        <v/>
      </c>
      <c r="I74" s="5">
        <f>IF($E74="","",IFERROR(INDEX('DM_HinhThucKham'!$B$2:$B$3,AGGREGATE(15,6,ROW('DM_HinhThucKham'!$B$2:$B$3)-ROW('DM_HinhThucKham'!$B$2)+1/ISNUMBER(SEARCH(SUBSTITUTE(UPPER($E74)," ",""),'DM_HinhThucKham'!$C$2:$C$3)),1)),"Không tìm thấy"))</f>
        <v/>
      </c>
      <c r="P74" s="5">
        <f>IF($K74="","",IFERROR(INDEX('DM_DanToc'!$B$2:$B$78,AGGREGATE(15,6,ROW('DM_DanToc'!$B$2:$B$78)-ROW('DM_DanToc'!$B$2)+1/ISNUMBER(SEARCH(SUBSTITUTE(UPPER($K74)," ",""),'DM_DanToc'!$C$2:$C$78)),1)),"Không tìm thấy"))</f>
        <v/>
      </c>
      <c r="W74" s="5">
        <f>IF($Q74="","",IFERROR(INDEX('DM_TinhThanh'!$B$2:$B$35,AGGREGATE(15,6,ROW('DM_TinhThanh'!$B$2:$B$35)-ROW('DM_TinhThanh'!$B$2)+1/ISNUMBER(SEARCH(SUBSTITUTE(UPPER($Q74)," ",""),'DM_TinhThanh'!$C$2:$C$35)),1)),"Không tìm thấy"))</f>
        <v/>
      </c>
      <c r="Y74" s="5">
        <f>IF($R74="","",IFERROR(INDEX('DM_XaPhuong'!$B$2:$B$169,AGGREGATE(15,6,ROW('DM_XaPhuong'!$B$2:$B$169)-ROW('DM_XaPhuong'!$B$2)+1/ISNUMBER(SEARCH(SUBSTITUTE(UPPER($R74)," ",""),'DM_XaPhuong'!$C$2:$C$169)),1)),"Không tìm thấy"))</f>
        <v/>
      </c>
      <c r="AB74" s="5">
        <f>IF($T74="","",IFERROR(INDEX('DM_NgheNghiep'!$B$2:$B$11,AGGREGATE(15,6,ROW('DM_NgheNghiep'!$B$2:$B$11)-ROW('DM_NgheNghiep'!$B$2)+1/ISNUMBER(SEARCH(SUBSTITUTE(UPPER($T74)," ",""),'DM_NgheNghiep'!$C$2:$C$11)),1)),"Không tìm thấy"))</f>
        <v/>
      </c>
      <c r="AD74" s="5">
        <f>IF($U74="","",IFERROR(INDEX('DM_NoiCongTac'!$B$2:$B$11,AGGREGATE(15,6,ROW('DM_NoiCongTac'!$B$2:$B$11)-ROW('DM_NoiCongTac'!$B$2)+1/ISNUMBER(SEARCH(SUBSTITUTE(UPPER($U74)," ",""),'DM_NoiCongTac'!$C$2:$C$11)),1)),"Không tìm thấy"))</f>
        <v/>
      </c>
      <c r="AF74" s="5">
        <f>IF($V74="","",IFERROR(INDEX('DM_XaPhuong'!$B$2:$B$169,AGGREGATE(15,6,ROW('DM_XaPhuong'!$B$2:$B$169)-ROW('DM_XaPhuong'!$B$2)+1/ISNUMBER(SEARCH(SUBSTITUTE(UPPER($V74)," ",""),'DM_XaPhuong'!$C$2:$C$169)),1)),"Không tìm thấy"))</f>
        <v/>
      </c>
    </row>
    <row r="75">
      <c r="C75" s="5">
        <f>IF($B75="","",IFERROR(INDEX('DM_DoiTuong'!$B$2:$B$19,AGGREGATE(15,6,ROW('DM_DoiTuong'!$B$2:$B$19)-ROW('DM_DoiTuong'!$B$2)+1/ISNUMBER(SEARCH(SUBSTITUTE(UPPER($B75)," ",""),'DM_DoiTuong'!$C$2:$C$19)),1)),"Không tìm thấy"))</f>
        <v/>
      </c>
      <c r="E75" s="5">
        <f>IF($C75="","",IFERROR(INDEX('DM_DiaDiemKham'!$B$2:$B$6,AGGREGATE(15,6,ROW('DM_DiaDiemKham'!$B$2:$B$6)-ROW('DM_DiaDiemKham'!$B$2)+1/ISNUMBER(SEARCH(SUBSTITUTE(UPPER($C75)," ",""),'DM_DiaDiemKham'!$C$2:$C$6)),1)),"Không tìm thấy"))</f>
        <v/>
      </c>
      <c r="G75" s="5">
        <f>IF($D75="","",IFERROR(INDEX('DM_HinhThucChiTra'!$B$2:$B$5,AGGREGATE(15,6,ROW('DM_HinhThucChiTra'!$B$2:$B$5)-ROW('DM_HinhThucChiTra'!$B$2)+1/ISNUMBER(SEARCH(SUBSTITUTE(UPPER($D75)," ",""),'DM_HinhThucChiTra'!$C$2:$C$5)),1)),"Không tìm thấy"))</f>
        <v/>
      </c>
      <c r="I75" s="5">
        <f>IF($E75="","",IFERROR(INDEX('DM_HinhThucKham'!$B$2:$B$3,AGGREGATE(15,6,ROW('DM_HinhThucKham'!$B$2:$B$3)-ROW('DM_HinhThucKham'!$B$2)+1/ISNUMBER(SEARCH(SUBSTITUTE(UPPER($E75)," ",""),'DM_HinhThucKham'!$C$2:$C$3)),1)),"Không tìm thấy"))</f>
        <v/>
      </c>
      <c r="P75" s="5">
        <f>IF($K75="","",IFERROR(INDEX('DM_DanToc'!$B$2:$B$78,AGGREGATE(15,6,ROW('DM_DanToc'!$B$2:$B$78)-ROW('DM_DanToc'!$B$2)+1/ISNUMBER(SEARCH(SUBSTITUTE(UPPER($K75)," ",""),'DM_DanToc'!$C$2:$C$78)),1)),"Không tìm thấy"))</f>
        <v/>
      </c>
      <c r="W75" s="5">
        <f>IF($Q75="","",IFERROR(INDEX('DM_TinhThanh'!$B$2:$B$35,AGGREGATE(15,6,ROW('DM_TinhThanh'!$B$2:$B$35)-ROW('DM_TinhThanh'!$B$2)+1/ISNUMBER(SEARCH(SUBSTITUTE(UPPER($Q75)," ",""),'DM_TinhThanh'!$C$2:$C$35)),1)),"Không tìm thấy"))</f>
        <v/>
      </c>
      <c r="Y75" s="5">
        <f>IF($R75="","",IFERROR(INDEX('DM_XaPhuong'!$B$2:$B$169,AGGREGATE(15,6,ROW('DM_XaPhuong'!$B$2:$B$169)-ROW('DM_XaPhuong'!$B$2)+1/ISNUMBER(SEARCH(SUBSTITUTE(UPPER($R75)," ",""),'DM_XaPhuong'!$C$2:$C$169)),1)),"Không tìm thấy"))</f>
        <v/>
      </c>
      <c r="AB75" s="5">
        <f>IF($T75="","",IFERROR(INDEX('DM_NgheNghiep'!$B$2:$B$11,AGGREGATE(15,6,ROW('DM_NgheNghiep'!$B$2:$B$11)-ROW('DM_NgheNghiep'!$B$2)+1/ISNUMBER(SEARCH(SUBSTITUTE(UPPER($T75)," ",""),'DM_NgheNghiep'!$C$2:$C$11)),1)),"Không tìm thấy"))</f>
        <v/>
      </c>
      <c r="AD75" s="5">
        <f>IF($U75="","",IFERROR(INDEX('DM_NoiCongTac'!$B$2:$B$11,AGGREGATE(15,6,ROW('DM_NoiCongTac'!$B$2:$B$11)-ROW('DM_NoiCongTac'!$B$2)+1/ISNUMBER(SEARCH(SUBSTITUTE(UPPER($U75)," ",""),'DM_NoiCongTac'!$C$2:$C$11)),1)),"Không tìm thấy"))</f>
        <v/>
      </c>
      <c r="AF75" s="5">
        <f>IF($V75="","",IFERROR(INDEX('DM_XaPhuong'!$B$2:$B$169,AGGREGATE(15,6,ROW('DM_XaPhuong'!$B$2:$B$169)-ROW('DM_XaPhuong'!$B$2)+1/ISNUMBER(SEARCH(SUBSTITUTE(UPPER($V75)," ",""),'DM_XaPhuong'!$C$2:$C$169)),1)),"Không tìm thấy"))</f>
        <v/>
      </c>
    </row>
    <row r="76">
      <c r="C76" s="5">
        <f>IF($B76="","",IFERROR(INDEX('DM_DoiTuong'!$B$2:$B$19,AGGREGATE(15,6,ROW('DM_DoiTuong'!$B$2:$B$19)-ROW('DM_DoiTuong'!$B$2)+1/ISNUMBER(SEARCH(SUBSTITUTE(UPPER($B76)," ",""),'DM_DoiTuong'!$C$2:$C$19)),1)),"Không tìm thấy"))</f>
        <v/>
      </c>
      <c r="E76" s="5">
        <f>IF($C76="","",IFERROR(INDEX('DM_DiaDiemKham'!$B$2:$B$6,AGGREGATE(15,6,ROW('DM_DiaDiemKham'!$B$2:$B$6)-ROW('DM_DiaDiemKham'!$B$2)+1/ISNUMBER(SEARCH(SUBSTITUTE(UPPER($C76)," ",""),'DM_DiaDiemKham'!$C$2:$C$6)),1)),"Không tìm thấy"))</f>
        <v/>
      </c>
      <c r="G76" s="5">
        <f>IF($D76="","",IFERROR(INDEX('DM_HinhThucChiTra'!$B$2:$B$5,AGGREGATE(15,6,ROW('DM_HinhThucChiTra'!$B$2:$B$5)-ROW('DM_HinhThucChiTra'!$B$2)+1/ISNUMBER(SEARCH(SUBSTITUTE(UPPER($D76)," ",""),'DM_HinhThucChiTra'!$C$2:$C$5)),1)),"Không tìm thấy"))</f>
        <v/>
      </c>
      <c r="I76" s="5">
        <f>IF($E76="","",IFERROR(INDEX('DM_HinhThucKham'!$B$2:$B$3,AGGREGATE(15,6,ROW('DM_HinhThucKham'!$B$2:$B$3)-ROW('DM_HinhThucKham'!$B$2)+1/ISNUMBER(SEARCH(SUBSTITUTE(UPPER($E76)," ",""),'DM_HinhThucKham'!$C$2:$C$3)),1)),"Không tìm thấy"))</f>
        <v/>
      </c>
      <c r="P76" s="5">
        <f>IF($K76="","",IFERROR(INDEX('DM_DanToc'!$B$2:$B$78,AGGREGATE(15,6,ROW('DM_DanToc'!$B$2:$B$78)-ROW('DM_DanToc'!$B$2)+1/ISNUMBER(SEARCH(SUBSTITUTE(UPPER($K76)," ",""),'DM_DanToc'!$C$2:$C$78)),1)),"Không tìm thấy"))</f>
        <v/>
      </c>
      <c r="W76" s="5">
        <f>IF($Q76="","",IFERROR(INDEX('DM_TinhThanh'!$B$2:$B$35,AGGREGATE(15,6,ROW('DM_TinhThanh'!$B$2:$B$35)-ROW('DM_TinhThanh'!$B$2)+1/ISNUMBER(SEARCH(SUBSTITUTE(UPPER($Q76)," ",""),'DM_TinhThanh'!$C$2:$C$35)),1)),"Không tìm thấy"))</f>
        <v/>
      </c>
      <c r="Y76" s="5">
        <f>IF($R76="","",IFERROR(INDEX('DM_XaPhuong'!$B$2:$B$169,AGGREGATE(15,6,ROW('DM_XaPhuong'!$B$2:$B$169)-ROW('DM_XaPhuong'!$B$2)+1/ISNUMBER(SEARCH(SUBSTITUTE(UPPER($R76)," ",""),'DM_XaPhuong'!$C$2:$C$169)),1)),"Không tìm thấy"))</f>
        <v/>
      </c>
      <c r="AB76" s="5">
        <f>IF($T76="","",IFERROR(INDEX('DM_NgheNghiep'!$B$2:$B$11,AGGREGATE(15,6,ROW('DM_NgheNghiep'!$B$2:$B$11)-ROW('DM_NgheNghiep'!$B$2)+1/ISNUMBER(SEARCH(SUBSTITUTE(UPPER($T76)," ",""),'DM_NgheNghiep'!$C$2:$C$11)),1)),"Không tìm thấy"))</f>
        <v/>
      </c>
      <c r="AD76" s="5">
        <f>IF($U76="","",IFERROR(INDEX('DM_NoiCongTac'!$B$2:$B$11,AGGREGATE(15,6,ROW('DM_NoiCongTac'!$B$2:$B$11)-ROW('DM_NoiCongTac'!$B$2)+1/ISNUMBER(SEARCH(SUBSTITUTE(UPPER($U76)," ",""),'DM_NoiCongTac'!$C$2:$C$11)),1)),"Không tìm thấy"))</f>
        <v/>
      </c>
      <c r="AF76" s="5">
        <f>IF($V76="","",IFERROR(INDEX('DM_XaPhuong'!$B$2:$B$169,AGGREGATE(15,6,ROW('DM_XaPhuong'!$B$2:$B$169)-ROW('DM_XaPhuong'!$B$2)+1/ISNUMBER(SEARCH(SUBSTITUTE(UPPER($V76)," ",""),'DM_XaPhuong'!$C$2:$C$169)),1)),"Không tìm thấy"))</f>
        <v/>
      </c>
    </row>
    <row r="77">
      <c r="C77" s="5">
        <f>IF($B77="","",IFERROR(INDEX('DM_DoiTuong'!$B$2:$B$19,AGGREGATE(15,6,ROW('DM_DoiTuong'!$B$2:$B$19)-ROW('DM_DoiTuong'!$B$2)+1/ISNUMBER(SEARCH(SUBSTITUTE(UPPER($B77)," ",""),'DM_DoiTuong'!$C$2:$C$19)),1)),"Không tìm thấy"))</f>
        <v/>
      </c>
      <c r="E77" s="5">
        <f>IF($C77="","",IFERROR(INDEX('DM_DiaDiemKham'!$B$2:$B$6,AGGREGATE(15,6,ROW('DM_DiaDiemKham'!$B$2:$B$6)-ROW('DM_DiaDiemKham'!$B$2)+1/ISNUMBER(SEARCH(SUBSTITUTE(UPPER($C77)," ",""),'DM_DiaDiemKham'!$C$2:$C$6)),1)),"Không tìm thấy"))</f>
        <v/>
      </c>
      <c r="G77" s="5">
        <f>IF($D77="","",IFERROR(INDEX('DM_HinhThucChiTra'!$B$2:$B$5,AGGREGATE(15,6,ROW('DM_HinhThucChiTra'!$B$2:$B$5)-ROW('DM_HinhThucChiTra'!$B$2)+1/ISNUMBER(SEARCH(SUBSTITUTE(UPPER($D77)," ",""),'DM_HinhThucChiTra'!$C$2:$C$5)),1)),"Không tìm thấy"))</f>
        <v/>
      </c>
      <c r="I77" s="5">
        <f>IF($E77="","",IFERROR(INDEX('DM_HinhThucKham'!$B$2:$B$3,AGGREGATE(15,6,ROW('DM_HinhThucKham'!$B$2:$B$3)-ROW('DM_HinhThucKham'!$B$2)+1/ISNUMBER(SEARCH(SUBSTITUTE(UPPER($E77)," ",""),'DM_HinhThucKham'!$C$2:$C$3)),1)),"Không tìm thấy"))</f>
        <v/>
      </c>
      <c r="P77" s="5">
        <f>IF($K77="","",IFERROR(INDEX('DM_DanToc'!$B$2:$B$78,AGGREGATE(15,6,ROW('DM_DanToc'!$B$2:$B$78)-ROW('DM_DanToc'!$B$2)+1/ISNUMBER(SEARCH(SUBSTITUTE(UPPER($K77)," ",""),'DM_DanToc'!$C$2:$C$78)),1)),"Không tìm thấy"))</f>
        <v/>
      </c>
      <c r="W77" s="5">
        <f>IF($Q77="","",IFERROR(INDEX('DM_TinhThanh'!$B$2:$B$35,AGGREGATE(15,6,ROW('DM_TinhThanh'!$B$2:$B$35)-ROW('DM_TinhThanh'!$B$2)+1/ISNUMBER(SEARCH(SUBSTITUTE(UPPER($Q77)," ",""),'DM_TinhThanh'!$C$2:$C$35)),1)),"Không tìm thấy"))</f>
        <v/>
      </c>
      <c r="Y77" s="5">
        <f>IF($R77="","",IFERROR(INDEX('DM_XaPhuong'!$B$2:$B$169,AGGREGATE(15,6,ROW('DM_XaPhuong'!$B$2:$B$169)-ROW('DM_XaPhuong'!$B$2)+1/ISNUMBER(SEARCH(SUBSTITUTE(UPPER($R77)," ",""),'DM_XaPhuong'!$C$2:$C$169)),1)),"Không tìm thấy"))</f>
        <v/>
      </c>
      <c r="AB77" s="5">
        <f>IF($T77="","",IFERROR(INDEX('DM_NgheNghiep'!$B$2:$B$11,AGGREGATE(15,6,ROW('DM_NgheNghiep'!$B$2:$B$11)-ROW('DM_NgheNghiep'!$B$2)+1/ISNUMBER(SEARCH(SUBSTITUTE(UPPER($T77)," ",""),'DM_NgheNghiep'!$C$2:$C$11)),1)),"Không tìm thấy"))</f>
        <v/>
      </c>
      <c r="AD77" s="5">
        <f>IF($U77="","",IFERROR(INDEX('DM_NoiCongTac'!$B$2:$B$11,AGGREGATE(15,6,ROW('DM_NoiCongTac'!$B$2:$B$11)-ROW('DM_NoiCongTac'!$B$2)+1/ISNUMBER(SEARCH(SUBSTITUTE(UPPER($U77)," ",""),'DM_NoiCongTac'!$C$2:$C$11)),1)),"Không tìm thấy"))</f>
        <v/>
      </c>
      <c r="AF77" s="5">
        <f>IF($V77="","",IFERROR(INDEX('DM_XaPhuong'!$B$2:$B$169,AGGREGATE(15,6,ROW('DM_XaPhuong'!$B$2:$B$169)-ROW('DM_XaPhuong'!$B$2)+1/ISNUMBER(SEARCH(SUBSTITUTE(UPPER($V77)," ",""),'DM_XaPhuong'!$C$2:$C$169)),1)),"Không tìm thấy"))</f>
        <v/>
      </c>
    </row>
    <row r="78">
      <c r="C78" s="5">
        <f>IF($B78="","",IFERROR(INDEX('DM_DoiTuong'!$B$2:$B$19,AGGREGATE(15,6,ROW('DM_DoiTuong'!$B$2:$B$19)-ROW('DM_DoiTuong'!$B$2)+1/ISNUMBER(SEARCH(SUBSTITUTE(UPPER($B78)," ",""),'DM_DoiTuong'!$C$2:$C$19)),1)),"Không tìm thấy"))</f>
        <v/>
      </c>
      <c r="E78" s="5">
        <f>IF($C78="","",IFERROR(INDEX('DM_DiaDiemKham'!$B$2:$B$6,AGGREGATE(15,6,ROW('DM_DiaDiemKham'!$B$2:$B$6)-ROW('DM_DiaDiemKham'!$B$2)+1/ISNUMBER(SEARCH(SUBSTITUTE(UPPER($C78)," ",""),'DM_DiaDiemKham'!$C$2:$C$6)),1)),"Không tìm thấy"))</f>
        <v/>
      </c>
      <c r="G78" s="5">
        <f>IF($D78="","",IFERROR(INDEX('DM_HinhThucChiTra'!$B$2:$B$5,AGGREGATE(15,6,ROW('DM_HinhThucChiTra'!$B$2:$B$5)-ROW('DM_HinhThucChiTra'!$B$2)+1/ISNUMBER(SEARCH(SUBSTITUTE(UPPER($D78)," ",""),'DM_HinhThucChiTra'!$C$2:$C$5)),1)),"Không tìm thấy"))</f>
        <v/>
      </c>
      <c r="I78" s="5">
        <f>IF($E78="","",IFERROR(INDEX('DM_HinhThucKham'!$B$2:$B$3,AGGREGATE(15,6,ROW('DM_HinhThucKham'!$B$2:$B$3)-ROW('DM_HinhThucKham'!$B$2)+1/ISNUMBER(SEARCH(SUBSTITUTE(UPPER($E78)," ",""),'DM_HinhThucKham'!$C$2:$C$3)),1)),"Không tìm thấy"))</f>
        <v/>
      </c>
      <c r="P78" s="5">
        <f>IF($K78="","",IFERROR(INDEX('DM_DanToc'!$B$2:$B$78,AGGREGATE(15,6,ROW('DM_DanToc'!$B$2:$B$78)-ROW('DM_DanToc'!$B$2)+1/ISNUMBER(SEARCH(SUBSTITUTE(UPPER($K78)," ",""),'DM_DanToc'!$C$2:$C$78)),1)),"Không tìm thấy"))</f>
        <v/>
      </c>
      <c r="W78" s="5">
        <f>IF($Q78="","",IFERROR(INDEX('DM_TinhThanh'!$B$2:$B$35,AGGREGATE(15,6,ROW('DM_TinhThanh'!$B$2:$B$35)-ROW('DM_TinhThanh'!$B$2)+1/ISNUMBER(SEARCH(SUBSTITUTE(UPPER($Q78)," ",""),'DM_TinhThanh'!$C$2:$C$35)),1)),"Không tìm thấy"))</f>
        <v/>
      </c>
      <c r="Y78" s="5">
        <f>IF($R78="","",IFERROR(INDEX('DM_XaPhuong'!$B$2:$B$169,AGGREGATE(15,6,ROW('DM_XaPhuong'!$B$2:$B$169)-ROW('DM_XaPhuong'!$B$2)+1/ISNUMBER(SEARCH(SUBSTITUTE(UPPER($R78)," ",""),'DM_XaPhuong'!$C$2:$C$169)),1)),"Không tìm thấy"))</f>
        <v/>
      </c>
      <c r="AB78" s="5">
        <f>IF($T78="","",IFERROR(INDEX('DM_NgheNghiep'!$B$2:$B$11,AGGREGATE(15,6,ROW('DM_NgheNghiep'!$B$2:$B$11)-ROW('DM_NgheNghiep'!$B$2)+1/ISNUMBER(SEARCH(SUBSTITUTE(UPPER($T78)," ",""),'DM_NgheNghiep'!$C$2:$C$11)),1)),"Không tìm thấy"))</f>
        <v/>
      </c>
      <c r="AD78" s="5">
        <f>IF($U78="","",IFERROR(INDEX('DM_NoiCongTac'!$B$2:$B$11,AGGREGATE(15,6,ROW('DM_NoiCongTac'!$B$2:$B$11)-ROW('DM_NoiCongTac'!$B$2)+1/ISNUMBER(SEARCH(SUBSTITUTE(UPPER($U78)," ",""),'DM_NoiCongTac'!$C$2:$C$11)),1)),"Không tìm thấy"))</f>
        <v/>
      </c>
      <c r="AF78" s="5">
        <f>IF($V78="","",IFERROR(INDEX('DM_XaPhuong'!$B$2:$B$169,AGGREGATE(15,6,ROW('DM_XaPhuong'!$B$2:$B$169)-ROW('DM_XaPhuong'!$B$2)+1/ISNUMBER(SEARCH(SUBSTITUTE(UPPER($V78)," ",""),'DM_XaPhuong'!$C$2:$C$169)),1)),"Không tìm thấy"))</f>
        <v/>
      </c>
    </row>
    <row r="79">
      <c r="C79" s="5">
        <f>IF($B79="","",IFERROR(INDEX('DM_DoiTuong'!$B$2:$B$19,AGGREGATE(15,6,ROW('DM_DoiTuong'!$B$2:$B$19)-ROW('DM_DoiTuong'!$B$2)+1/ISNUMBER(SEARCH(SUBSTITUTE(UPPER($B79)," ",""),'DM_DoiTuong'!$C$2:$C$19)),1)),"Không tìm thấy"))</f>
        <v/>
      </c>
      <c r="E79" s="5">
        <f>IF($C79="","",IFERROR(INDEX('DM_DiaDiemKham'!$B$2:$B$6,AGGREGATE(15,6,ROW('DM_DiaDiemKham'!$B$2:$B$6)-ROW('DM_DiaDiemKham'!$B$2)+1/ISNUMBER(SEARCH(SUBSTITUTE(UPPER($C79)," ",""),'DM_DiaDiemKham'!$C$2:$C$6)),1)),"Không tìm thấy"))</f>
        <v/>
      </c>
      <c r="G79" s="5">
        <f>IF($D79="","",IFERROR(INDEX('DM_HinhThucChiTra'!$B$2:$B$5,AGGREGATE(15,6,ROW('DM_HinhThucChiTra'!$B$2:$B$5)-ROW('DM_HinhThucChiTra'!$B$2)+1/ISNUMBER(SEARCH(SUBSTITUTE(UPPER($D79)," ",""),'DM_HinhThucChiTra'!$C$2:$C$5)),1)),"Không tìm thấy"))</f>
        <v/>
      </c>
      <c r="I79" s="5">
        <f>IF($E79="","",IFERROR(INDEX('DM_HinhThucKham'!$B$2:$B$3,AGGREGATE(15,6,ROW('DM_HinhThucKham'!$B$2:$B$3)-ROW('DM_HinhThucKham'!$B$2)+1/ISNUMBER(SEARCH(SUBSTITUTE(UPPER($E79)," ",""),'DM_HinhThucKham'!$C$2:$C$3)),1)),"Không tìm thấy"))</f>
        <v/>
      </c>
      <c r="P79" s="5">
        <f>IF($K79="","",IFERROR(INDEX('DM_DanToc'!$B$2:$B$78,AGGREGATE(15,6,ROW('DM_DanToc'!$B$2:$B$78)-ROW('DM_DanToc'!$B$2)+1/ISNUMBER(SEARCH(SUBSTITUTE(UPPER($K79)," ",""),'DM_DanToc'!$C$2:$C$78)),1)),"Không tìm thấy"))</f>
        <v/>
      </c>
      <c r="W79" s="5">
        <f>IF($Q79="","",IFERROR(INDEX('DM_TinhThanh'!$B$2:$B$35,AGGREGATE(15,6,ROW('DM_TinhThanh'!$B$2:$B$35)-ROW('DM_TinhThanh'!$B$2)+1/ISNUMBER(SEARCH(SUBSTITUTE(UPPER($Q79)," ",""),'DM_TinhThanh'!$C$2:$C$35)),1)),"Không tìm thấy"))</f>
        <v/>
      </c>
      <c r="Y79" s="5">
        <f>IF($R79="","",IFERROR(INDEX('DM_XaPhuong'!$B$2:$B$169,AGGREGATE(15,6,ROW('DM_XaPhuong'!$B$2:$B$169)-ROW('DM_XaPhuong'!$B$2)+1/ISNUMBER(SEARCH(SUBSTITUTE(UPPER($R79)," ",""),'DM_XaPhuong'!$C$2:$C$169)),1)),"Không tìm thấy"))</f>
        <v/>
      </c>
      <c r="AB79" s="5">
        <f>IF($T79="","",IFERROR(INDEX('DM_NgheNghiep'!$B$2:$B$11,AGGREGATE(15,6,ROW('DM_NgheNghiep'!$B$2:$B$11)-ROW('DM_NgheNghiep'!$B$2)+1/ISNUMBER(SEARCH(SUBSTITUTE(UPPER($T79)," ",""),'DM_NgheNghiep'!$C$2:$C$11)),1)),"Không tìm thấy"))</f>
        <v/>
      </c>
      <c r="AD79" s="5">
        <f>IF($U79="","",IFERROR(INDEX('DM_NoiCongTac'!$B$2:$B$11,AGGREGATE(15,6,ROW('DM_NoiCongTac'!$B$2:$B$11)-ROW('DM_NoiCongTac'!$B$2)+1/ISNUMBER(SEARCH(SUBSTITUTE(UPPER($U79)," ",""),'DM_NoiCongTac'!$C$2:$C$11)),1)),"Không tìm thấy"))</f>
        <v/>
      </c>
      <c r="AF79" s="5">
        <f>IF($V79="","",IFERROR(INDEX('DM_XaPhuong'!$B$2:$B$169,AGGREGATE(15,6,ROW('DM_XaPhuong'!$B$2:$B$169)-ROW('DM_XaPhuong'!$B$2)+1/ISNUMBER(SEARCH(SUBSTITUTE(UPPER($V79)," ",""),'DM_XaPhuong'!$C$2:$C$169)),1)),"Không tìm thấy"))</f>
        <v/>
      </c>
    </row>
    <row r="80">
      <c r="C80" s="5">
        <f>IF($B80="","",IFERROR(INDEX('DM_DoiTuong'!$B$2:$B$19,AGGREGATE(15,6,ROW('DM_DoiTuong'!$B$2:$B$19)-ROW('DM_DoiTuong'!$B$2)+1/ISNUMBER(SEARCH(SUBSTITUTE(UPPER($B80)," ",""),'DM_DoiTuong'!$C$2:$C$19)),1)),"Không tìm thấy"))</f>
        <v/>
      </c>
      <c r="E80" s="5">
        <f>IF($C80="","",IFERROR(INDEX('DM_DiaDiemKham'!$B$2:$B$6,AGGREGATE(15,6,ROW('DM_DiaDiemKham'!$B$2:$B$6)-ROW('DM_DiaDiemKham'!$B$2)+1/ISNUMBER(SEARCH(SUBSTITUTE(UPPER($C80)," ",""),'DM_DiaDiemKham'!$C$2:$C$6)),1)),"Không tìm thấy"))</f>
        <v/>
      </c>
      <c r="G80" s="5">
        <f>IF($D80="","",IFERROR(INDEX('DM_HinhThucChiTra'!$B$2:$B$5,AGGREGATE(15,6,ROW('DM_HinhThucChiTra'!$B$2:$B$5)-ROW('DM_HinhThucChiTra'!$B$2)+1/ISNUMBER(SEARCH(SUBSTITUTE(UPPER($D80)," ",""),'DM_HinhThucChiTra'!$C$2:$C$5)),1)),"Không tìm thấy"))</f>
        <v/>
      </c>
      <c r="I80" s="5">
        <f>IF($E80="","",IFERROR(INDEX('DM_HinhThucKham'!$B$2:$B$3,AGGREGATE(15,6,ROW('DM_HinhThucKham'!$B$2:$B$3)-ROW('DM_HinhThucKham'!$B$2)+1/ISNUMBER(SEARCH(SUBSTITUTE(UPPER($E80)," ",""),'DM_HinhThucKham'!$C$2:$C$3)),1)),"Không tìm thấy"))</f>
        <v/>
      </c>
      <c r="P80" s="5">
        <f>IF($K80="","",IFERROR(INDEX('DM_DanToc'!$B$2:$B$78,AGGREGATE(15,6,ROW('DM_DanToc'!$B$2:$B$78)-ROW('DM_DanToc'!$B$2)+1/ISNUMBER(SEARCH(SUBSTITUTE(UPPER($K80)," ",""),'DM_DanToc'!$C$2:$C$78)),1)),"Không tìm thấy"))</f>
        <v/>
      </c>
      <c r="W80" s="5">
        <f>IF($Q80="","",IFERROR(INDEX('DM_TinhThanh'!$B$2:$B$35,AGGREGATE(15,6,ROW('DM_TinhThanh'!$B$2:$B$35)-ROW('DM_TinhThanh'!$B$2)+1/ISNUMBER(SEARCH(SUBSTITUTE(UPPER($Q80)," ",""),'DM_TinhThanh'!$C$2:$C$35)),1)),"Không tìm thấy"))</f>
        <v/>
      </c>
      <c r="Y80" s="5">
        <f>IF($R80="","",IFERROR(INDEX('DM_XaPhuong'!$B$2:$B$169,AGGREGATE(15,6,ROW('DM_XaPhuong'!$B$2:$B$169)-ROW('DM_XaPhuong'!$B$2)+1/ISNUMBER(SEARCH(SUBSTITUTE(UPPER($R80)," ",""),'DM_XaPhuong'!$C$2:$C$169)),1)),"Không tìm thấy"))</f>
        <v/>
      </c>
      <c r="AB80" s="5">
        <f>IF($T80="","",IFERROR(INDEX('DM_NgheNghiep'!$B$2:$B$11,AGGREGATE(15,6,ROW('DM_NgheNghiep'!$B$2:$B$11)-ROW('DM_NgheNghiep'!$B$2)+1/ISNUMBER(SEARCH(SUBSTITUTE(UPPER($T80)," ",""),'DM_NgheNghiep'!$C$2:$C$11)),1)),"Không tìm thấy"))</f>
        <v/>
      </c>
      <c r="AD80" s="5">
        <f>IF($U80="","",IFERROR(INDEX('DM_NoiCongTac'!$B$2:$B$11,AGGREGATE(15,6,ROW('DM_NoiCongTac'!$B$2:$B$11)-ROW('DM_NoiCongTac'!$B$2)+1/ISNUMBER(SEARCH(SUBSTITUTE(UPPER($U80)," ",""),'DM_NoiCongTac'!$C$2:$C$11)),1)),"Không tìm thấy"))</f>
        <v/>
      </c>
      <c r="AF80" s="5">
        <f>IF($V80="","",IFERROR(INDEX('DM_XaPhuong'!$B$2:$B$169,AGGREGATE(15,6,ROW('DM_XaPhuong'!$B$2:$B$169)-ROW('DM_XaPhuong'!$B$2)+1/ISNUMBER(SEARCH(SUBSTITUTE(UPPER($V80)," ",""),'DM_XaPhuong'!$C$2:$C$169)),1)),"Không tìm thấy"))</f>
        <v/>
      </c>
    </row>
    <row r="81">
      <c r="C81" s="5">
        <f>IF($B81="","",IFERROR(INDEX('DM_DoiTuong'!$B$2:$B$19,AGGREGATE(15,6,ROW('DM_DoiTuong'!$B$2:$B$19)-ROW('DM_DoiTuong'!$B$2)+1/ISNUMBER(SEARCH(SUBSTITUTE(UPPER($B81)," ",""),'DM_DoiTuong'!$C$2:$C$19)),1)),"Không tìm thấy"))</f>
        <v/>
      </c>
      <c r="E81" s="5">
        <f>IF($C81="","",IFERROR(INDEX('DM_DiaDiemKham'!$B$2:$B$6,AGGREGATE(15,6,ROW('DM_DiaDiemKham'!$B$2:$B$6)-ROW('DM_DiaDiemKham'!$B$2)+1/ISNUMBER(SEARCH(SUBSTITUTE(UPPER($C81)," ",""),'DM_DiaDiemKham'!$C$2:$C$6)),1)),"Không tìm thấy"))</f>
        <v/>
      </c>
      <c r="G81" s="5">
        <f>IF($D81="","",IFERROR(INDEX('DM_HinhThucChiTra'!$B$2:$B$5,AGGREGATE(15,6,ROW('DM_HinhThucChiTra'!$B$2:$B$5)-ROW('DM_HinhThucChiTra'!$B$2)+1/ISNUMBER(SEARCH(SUBSTITUTE(UPPER($D81)," ",""),'DM_HinhThucChiTra'!$C$2:$C$5)),1)),"Không tìm thấy"))</f>
        <v/>
      </c>
      <c r="I81" s="5">
        <f>IF($E81="","",IFERROR(INDEX('DM_HinhThucKham'!$B$2:$B$3,AGGREGATE(15,6,ROW('DM_HinhThucKham'!$B$2:$B$3)-ROW('DM_HinhThucKham'!$B$2)+1/ISNUMBER(SEARCH(SUBSTITUTE(UPPER($E81)," ",""),'DM_HinhThucKham'!$C$2:$C$3)),1)),"Không tìm thấy"))</f>
        <v/>
      </c>
      <c r="P81" s="5">
        <f>IF($K81="","",IFERROR(INDEX('DM_DanToc'!$B$2:$B$78,AGGREGATE(15,6,ROW('DM_DanToc'!$B$2:$B$78)-ROW('DM_DanToc'!$B$2)+1/ISNUMBER(SEARCH(SUBSTITUTE(UPPER($K81)," ",""),'DM_DanToc'!$C$2:$C$78)),1)),"Không tìm thấy"))</f>
        <v/>
      </c>
      <c r="W81" s="5">
        <f>IF($Q81="","",IFERROR(INDEX('DM_TinhThanh'!$B$2:$B$35,AGGREGATE(15,6,ROW('DM_TinhThanh'!$B$2:$B$35)-ROW('DM_TinhThanh'!$B$2)+1/ISNUMBER(SEARCH(SUBSTITUTE(UPPER($Q81)," ",""),'DM_TinhThanh'!$C$2:$C$35)),1)),"Không tìm thấy"))</f>
        <v/>
      </c>
      <c r="Y81" s="5">
        <f>IF($R81="","",IFERROR(INDEX('DM_XaPhuong'!$B$2:$B$169,AGGREGATE(15,6,ROW('DM_XaPhuong'!$B$2:$B$169)-ROW('DM_XaPhuong'!$B$2)+1/ISNUMBER(SEARCH(SUBSTITUTE(UPPER($R81)," ",""),'DM_XaPhuong'!$C$2:$C$169)),1)),"Không tìm thấy"))</f>
        <v/>
      </c>
      <c r="AB81" s="5">
        <f>IF($T81="","",IFERROR(INDEX('DM_NgheNghiep'!$B$2:$B$11,AGGREGATE(15,6,ROW('DM_NgheNghiep'!$B$2:$B$11)-ROW('DM_NgheNghiep'!$B$2)+1/ISNUMBER(SEARCH(SUBSTITUTE(UPPER($T81)," ",""),'DM_NgheNghiep'!$C$2:$C$11)),1)),"Không tìm thấy"))</f>
        <v/>
      </c>
      <c r="AD81" s="5">
        <f>IF($U81="","",IFERROR(INDEX('DM_NoiCongTac'!$B$2:$B$11,AGGREGATE(15,6,ROW('DM_NoiCongTac'!$B$2:$B$11)-ROW('DM_NoiCongTac'!$B$2)+1/ISNUMBER(SEARCH(SUBSTITUTE(UPPER($U81)," ",""),'DM_NoiCongTac'!$C$2:$C$11)),1)),"Không tìm thấy"))</f>
        <v/>
      </c>
      <c r="AF81" s="5">
        <f>IF($V81="","",IFERROR(INDEX('DM_XaPhuong'!$B$2:$B$169,AGGREGATE(15,6,ROW('DM_XaPhuong'!$B$2:$B$169)-ROW('DM_XaPhuong'!$B$2)+1/ISNUMBER(SEARCH(SUBSTITUTE(UPPER($V81)," ",""),'DM_XaPhuong'!$C$2:$C$169)),1)),"Không tìm thấy"))</f>
        <v/>
      </c>
    </row>
    <row r="82">
      <c r="C82" s="5">
        <f>IF($B82="","",IFERROR(INDEX('DM_DoiTuong'!$B$2:$B$19,AGGREGATE(15,6,ROW('DM_DoiTuong'!$B$2:$B$19)-ROW('DM_DoiTuong'!$B$2)+1/ISNUMBER(SEARCH(SUBSTITUTE(UPPER($B82)," ",""),'DM_DoiTuong'!$C$2:$C$19)),1)),"Không tìm thấy"))</f>
        <v/>
      </c>
      <c r="E82" s="5">
        <f>IF($C82="","",IFERROR(INDEX('DM_DiaDiemKham'!$B$2:$B$6,AGGREGATE(15,6,ROW('DM_DiaDiemKham'!$B$2:$B$6)-ROW('DM_DiaDiemKham'!$B$2)+1/ISNUMBER(SEARCH(SUBSTITUTE(UPPER($C82)," ",""),'DM_DiaDiemKham'!$C$2:$C$6)),1)),"Không tìm thấy"))</f>
        <v/>
      </c>
      <c r="G82" s="5">
        <f>IF($D82="","",IFERROR(INDEX('DM_HinhThucChiTra'!$B$2:$B$5,AGGREGATE(15,6,ROW('DM_HinhThucChiTra'!$B$2:$B$5)-ROW('DM_HinhThucChiTra'!$B$2)+1/ISNUMBER(SEARCH(SUBSTITUTE(UPPER($D82)," ",""),'DM_HinhThucChiTra'!$C$2:$C$5)),1)),"Không tìm thấy"))</f>
        <v/>
      </c>
      <c r="I82" s="5">
        <f>IF($E82="","",IFERROR(INDEX('DM_HinhThucKham'!$B$2:$B$3,AGGREGATE(15,6,ROW('DM_HinhThucKham'!$B$2:$B$3)-ROW('DM_HinhThucKham'!$B$2)+1/ISNUMBER(SEARCH(SUBSTITUTE(UPPER($E82)," ",""),'DM_HinhThucKham'!$C$2:$C$3)),1)),"Không tìm thấy"))</f>
        <v/>
      </c>
      <c r="P82" s="5">
        <f>IF($K82="","",IFERROR(INDEX('DM_DanToc'!$B$2:$B$78,AGGREGATE(15,6,ROW('DM_DanToc'!$B$2:$B$78)-ROW('DM_DanToc'!$B$2)+1/ISNUMBER(SEARCH(SUBSTITUTE(UPPER($K82)," ",""),'DM_DanToc'!$C$2:$C$78)),1)),"Không tìm thấy"))</f>
        <v/>
      </c>
      <c r="W82" s="5">
        <f>IF($Q82="","",IFERROR(INDEX('DM_TinhThanh'!$B$2:$B$35,AGGREGATE(15,6,ROW('DM_TinhThanh'!$B$2:$B$35)-ROW('DM_TinhThanh'!$B$2)+1/ISNUMBER(SEARCH(SUBSTITUTE(UPPER($Q82)," ",""),'DM_TinhThanh'!$C$2:$C$35)),1)),"Không tìm thấy"))</f>
        <v/>
      </c>
      <c r="Y82" s="5">
        <f>IF($R82="","",IFERROR(INDEX('DM_XaPhuong'!$B$2:$B$169,AGGREGATE(15,6,ROW('DM_XaPhuong'!$B$2:$B$169)-ROW('DM_XaPhuong'!$B$2)+1/ISNUMBER(SEARCH(SUBSTITUTE(UPPER($R82)," ",""),'DM_XaPhuong'!$C$2:$C$169)),1)),"Không tìm thấy"))</f>
        <v/>
      </c>
      <c r="AB82" s="5">
        <f>IF($T82="","",IFERROR(INDEX('DM_NgheNghiep'!$B$2:$B$11,AGGREGATE(15,6,ROW('DM_NgheNghiep'!$B$2:$B$11)-ROW('DM_NgheNghiep'!$B$2)+1/ISNUMBER(SEARCH(SUBSTITUTE(UPPER($T82)," ",""),'DM_NgheNghiep'!$C$2:$C$11)),1)),"Không tìm thấy"))</f>
        <v/>
      </c>
      <c r="AD82" s="5">
        <f>IF($U82="","",IFERROR(INDEX('DM_NoiCongTac'!$B$2:$B$11,AGGREGATE(15,6,ROW('DM_NoiCongTac'!$B$2:$B$11)-ROW('DM_NoiCongTac'!$B$2)+1/ISNUMBER(SEARCH(SUBSTITUTE(UPPER($U82)," ",""),'DM_NoiCongTac'!$C$2:$C$11)),1)),"Không tìm thấy"))</f>
        <v/>
      </c>
      <c r="AF82" s="5">
        <f>IF($V82="","",IFERROR(INDEX('DM_XaPhuong'!$B$2:$B$169,AGGREGATE(15,6,ROW('DM_XaPhuong'!$B$2:$B$169)-ROW('DM_XaPhuong'!$B$2)+1/ISNUMBER(SEARCH(SUBSTITUTE(UPPER($V82)," ",""),'DM_XaPhuong'!$C$2:$C$169)),1)),"Không tìm thấy"))</f>
        <v/>
      </c>
    </row>
    <row r="83">
      <c r="C83" s="5">
        <f>IF($B83="","",IFERROR(INDEX('DM_DoiTuong'!$B$2:$B$19,AGGREGATE(15,6,ROW('DM_DoiTuong'!$B$2:$B$19)-ROW('DM_DoiTuong'!$B$2)+1/ISNUMBER(SEARCH(SUBSTITUTE(UPPER($B83)," ",""),'DM_DoiTuong'!$C$2:$C$19)),1)),"Không tìm thấy"))</f>
        <v/>
      </c>
      <c r="E83" s="5">
        <f>IF($C83="","",IFERROR(INDEX('DM_DiaDiemKham'!$B$2:$B$6,AGGREGATE(15,6,ROW('DM_DiaDiemKham'!$B$2:$B$6)-ROW('DM_DiaDiemKham'!$B$2)+1/ISNUMBER(SEARCH(SUBSTITUTE(UPPER($C83)," ",""),'DM_DiaDiemKham'!$C$2:$C$6)),1)),"Không tìm thấy"))</f>
        <v/>
      </c>
      <c r="G83" s="5">
        <f>IF($D83="","",IFERROR(INDEX('DM_HinhThucChiTra'!$B$2:$B$5,AGGREGATE(15,6,ROW('DM_HinhThucChiTra'!$B$2:$B$5)-ROW('DM_HinhThucChiTra'!$B$2)+1/ISNUMBER(SEARCH(SUBSTITUTE(UPPER($D83)," ",""),'DM_HinhThucChiTra'!$C$2:$C$5)),1)),"Không tìm thấy"))</f>
        <v/>
      </c>
      <c r="I83" s="5">
        <f>IF($E83="","",IFERROR(INDEX('DM_HinhThucKham'!$B$2:$B$3,AGGREGATE(15,6,ROW('DM_HinhThucKham'!$B$2:$B$3)-ROW('DM_HinhThucKham'!$B$2)+1/ISNUMBER(SEARCH(SUBSTITUTE(UPPER($E83)," ",""),'DM_HinhThucKham'!$C$2:$C$3)),1)),"Không tìm thấy"))</f>
        <v/>
      </c>
      <c r="P83" s="5">
        <f>IF($K83="","",IFERROR(INDEX('DM_DanToc'!$B$2:$B$78,AGGREGATE(15,6,ROW('DM_DanToc'!$B$2:$B$78)-ROW('DM_DanToc'!$B$2)+1/ISNUMBER(SEARCH(SUBSTITUTE(UPPER($K83)," ",""),'DM_DanToc'!$C$2:$C$78)),1)),"Không tìm thấy"))</f>
        <v/>
      </c>
      <c r="W83" s="5">
        <f>IF($Q83="","",IFERROR(INDEX('DM_TinhThanh'!$B$2:$B$35,AGGREGATE(15,6,ROW('DM_TinhThanh'!$B$2:$B$35)-ROW('DM_TinhThanh'!$B$2)+1/ISNUMBER(SEARCH(SUBSTITUTE(UPPER($Q83)," ",""),'DM_TinhThanh'!$C$2:$C$35)),1)),"Không tìm thấy"))</f>
        <v/>
      </c>
      <c r="Y83" s="5">
        <f>IF($R83="","",IFERROR(INDEX('DM_XaPhuong'!$B$2:$B$169,AGGREGATE(15,6,ROW('DM_XaPhuong'!$B$2:$B$169)-ROW('DM_XaPhuong'!$B$2)+1/ISNUMBER(SEARCH(SUBSTITUTE(UPPER($R83)," ",""),'DM_XaPhuong'!$C$2:$C$169)),1)),"Không tìm thấy"))</f>
        <v/>
      </c>
      <c r="AB83" s="5">
        <f>IF($T83="","",IFERROR(INDEX('DM_NgheNghiep'!$B$2:$B$11,AGGREGATE(15,6,ROW('DM_NgheNghiep'!$B$2:$B$11)-ROW('DM_NgheNghiep'!$B$2)+1/ISNUMBER(SEARCH(SUBSTITUTE(UPPER($T83)," ",""),'DM_NgheNghiep'!$C$2:$C$11)),1)),"Không tìm thấy"))</f>
        <v/>
      </c>
      <c r="AD83" s="5">
        <f>IF($U83="","",IFERROR(INDEX('DM_NoiCongTac'!$B$2:$B$11,AGGREGATE(15,6,ROW('DM_NoiCongTac'!$B$2:$B$11)-ROW('DM_NoiCongTac'!$B$2)+1/ISNUMBER(SEARCH(SUBSTITUTE(UPPER($U83)," ",""),'DM_NoiCongTac'!$C$2:$C$11)),1)),"Không tìm thấy"))</f>
        <v/>
      </c>
      <c r="AF83" s="5">
        <f>IF($V83="","",IFERROR(INDEX('DM_XaPhuong'!$B$2:$B$169,AGGREGATE(15,6,ROW('DM_XaPhuong'!$B$2:$B$169)-ROW('DM_XaPhuong'!$B$2)+1/ISNUMBER(SEARCH(SUBSTITUTE(UPPER($V83)," ",""),'DM_XaPhuong'!$C$2:$C$169)),1)),"Không tìm thấy"))</f>
        <v/>
      </c>
    </row>
    <row r="84">
      <c r="C84" s="5">
        <f>IF($B84="","",IFERROR(INDEX('DM_DoiTuong'!$B$2:$B$19,AGGREGATE(15,6,ROW('DM_DoiTuong'!$B$2:$B$19)-ROW('DM_DoiTuong'!$B$2)+1/ISNUMBER(SEARCH(SUBSTITUTE(UPPER($B84)," ",""),'DM_DoiTuong'!$C$2:$C$19)),1)),"Không tìm thấy"))</f>
        <v/>
      </c>
      <c r="E84" s="5">
        <f>IF($C84="","",IFERROR(INDEX('DM_DiaDiemKham'!$B$2:$B$6,AGGREGATE(15,6,ROW('DM_DiaDiemKham'!$B$2:$B$6)-ROW('DM_DiaDiemKham'!$B$2)+1/ISNUMBER(SEARCH(SUBSTITUTE(UPPER($C84)," ",""),'DM_DiaDiemKham'!$C$2:$C$6)),1)),"Không tìm thấy"))</f>
        <v/>
      </c>
      <c r="G84" s="5">
        <f>IF($D84="","",IFERROR(INDEX('DM_HinhThucChiTra'!$B$2:$B$5,AGGREGATE(15,6,ROW('DM_HinhThucChiTra'!$B$2:$B$5)-ROW('DM_HinhThucChiTra'!$B$2)+1/ISNUMBER(SEARCH(SUBSTITUTE(UPPER($D84)," ",""),'DM_HinhThucChiTra'!$C$2:$C$5)),1)),"Không tìm thấy"))</f>
        <v/>
      </c>
      <c r="I84" s="5">
        <f>IF($E84="","",IFERROR(INDEX('DM_HinhThucKham'!$B$2:$B$3,AGGREGATE(15,6,ROW('DM_HinhThucKham'!$B$2:$B$3)-ROW('DM_HinhThucKham'!$B$2)+1/ISNUMBER(SEARCH(SUBSTITUTE(UPPER($E84)," ",""),'DM_HinhThucKham'!$C$2:$C$3)),1)),"Không tìm thấy"))</f>
        <v/>
      </c>
      <c r="P84" s="5">
        <f>IF($K84="","",IFERROR(INDEX('DM_DanToc'!$B$2:$B$78,AGGREGATE(15,6,ROW('DM_DanToc'!$B$2:$B$78)-ROW('DM_DanToc'!$B$2)+1/ISNUMBER(SEARCH(SUBSTITUTE(UPPER($K84)," ",""),'DM_DanToc'!$C$2:$C$78)),1)),"Không tìm thấy"))</f>
        <v/>
      </c>
      <c r="W84" s="5">
        <f>IF($Q84="","",IFERROR(INDEX('DM_TinhThanh'!$B$2:$B$35,AGGREGATE(15,6,ROW('DM_TinhThanh'!$B$2:$B$35)-ROW('DM_TinhThanh'!$B$2)+1/ISNUMBER(SEARCH(SUBSTITUTE(UPPER($Q84)," ",""),'DM_TinhThanh'!$C$2:$C$35)),1)),"Không tìm thấy"))</f>
        <v/>
      </c>
      <c r="Y84" s="5">
        <f>IF($R84="","",IFERROR(INDEX('DM_XaPhuong'!$B$2:$B$169,AGGREGATE(15,6,ROW('DM_XaPhuong'!$B$2:$B$169)-ROW('DM_XaPhuong'!$B$2)+1/ISNUMBER(SEARCH(SUBSTITUTE(UPPER($R84)," ",""),'DM_XaPhuong'!$C$2:$C$169)),1)),"Không tìm thấy"))</f>
        <v/>
      </c>
      <c r="AB84" s="5">
        <f>IF($T84="","",IFERROR(INDEX('DM_NgheNghiep'!$B$2:$B$11,AGGREGATE(15,6,ROW('DM_NgheNghiep'!$B$2:$B$11)-ROW('DM_NgheNghiep'!$B$2)+1/ISNUMBER(SEARCH(SUBSTITUTE(UPPER($T84)," ",""),'DM_NgheNghiep'!$C$2:$C$11)),1)),"Không tìm thấy"))</f>
        <v/>
      </c>
      <c r="AD84" s="5">
        <f>IF($U84="","",IFERROR(INDEX('DM_NoiCongTac'!$B$2:$B$11,AGGREGATE(15,6,ROW('DM_NoiCongTac'!$B$2:$B$11)-ROW('DM_NoiCongTac'!$B$2)+1/ISNUMBER(SEARCH(SUBSTITUTE(UPPER($U84)," ",""),'DM_NoiCongTac'!$C$2:$C$11)),1)),"Không tìm thấy"))</f>
        <v/>
      </c>
      <c r="AF84" s="5">
        <f>IF($V84="","",IFERROR(INDEX('DM_XaPhuong'!$B$2:$B$169,AGGREGATE(15,6,ROW('DM_XaPhuong'!$B$2:$B$169)-ROW('DM_XaPhuong'!$B$2)+1/ISNUMBER(SEARCH(SUBSTITUTE(UPPER($V84)," ",""),'DM_XaPhuong'!$C$2:$C$169)),1)),"Không tìm thấy"))</f>
        <v/>
      </c>
    </row>
    <row r="85">
      <c r="C85" s="5">
        <f>IF($B85="","",IFERROR(INDEX('DM_DoiTuong'!$B$2:$B$19,AGGREGATE(15,6,ROW('DM_DoiTuong'!$B$2:$B$19)-ROW('DM_DoiTuong'!$B$2)+1/ISNUMBER(SEARCH(SUBSTITUTE(UPPER($B85)," ",""),'DM_DoiTuong'!$C$2:$C$19)),1)),"Không tìm thấy"))</f>
        <v/>
      </c>
      <c r="E85" s="5">
        <f>IF($C85="","",IFERROR(INDEX('DM_DiaDiemKham'!$B$2:$B$6,AGGREGATE(15,6,ROW('DM_DiaDiemKham'!$B$2:$B$6)-ROW('DM_DiaDiemKham'!$B$2)+1/ISNUMBER(SEARCH(SUBSTITUTE(UPPER($C85)," ",""),'DM_DiaDiemKham'!$C$2:$C$6)),1)),"Không tìm thấy"))</f>
        <v/>
      </c>
      <c r="G85" s="5">
        <f>IF($D85="","",IFERROR(INDEX('DM_HinhThucChiTra'!$B$2:$B$5,AGGREGATE(15,6,ROW('DM_HinhThucChiTra'!$B$2:$B$5)-ROW('DM_HinhThucChiTra'!$B$2)+1/ISNUMBER(SEARCH(SUBSTITUTE(UPPER($D85)," ",""),'DM_HinhThucChiTra'!$C$2:$C$5)),1)),"Không tìm thấy"))</f>
        <v/>
      </c>
      <c r="I85" s="5">
        <f>IF($E85="","",IFERROR(INDEX('DM_HinhThucKham'!$B$2:$B$3,AGGREGATE(15,6,ROW('DM_HinhThucKham'!$B$2:$B$3)-ROW('DM_HinhThucKham'!$B$2)+1/ISNUMBER(SEARCH(SUBSTITUTE(UPPER($E85)," ",""),'DM_HinhThucKham'!$C$2:$C$3)),1)),"Không tìm thấy"))</f>
        <v/>
      </c>
      <c r="P85" s="5">
        <f>IF($K85="","",IFERROR(INDEX('DM_DanToc'!$B$2:$B$78,AGGREGATE(15,6,ROW('DM_DanToc'!$B$2:$B$78)-ROW('DM_DanToc'!$B$2)+1/ISNUMBER(SEARCH(SUBSTITUTE(UPPER($K85)," ",""),'DM_DanToc'!$C$2:$C$78)),1)),"Không tìm thấy"))</f>
        <v/>
      </c>
      <c r="W85" s="5">
        <f>IF($Q85="","",IFERROR(INDEX('DM_TinhThanh'!$B$2:$B$35,AGGREGATE(15,6,ROW('DM_TinhThanh'!$B$2:$B$35)-ROW('DM_TinhThanh'!$B$2)+1/ISNUMBER(SEARCH(SUBSTITUTE(UPPER($Q85)," ",""),'DM_TinhThanh'!$C$2:$C$35)),1)),"Không tìm thấy"))</f>
        <v/>
      </c>
      <c r="Y85" s="5">
        <f>IF($R85="","",IFERROR(INDEX('DM_XaPhuong'!$B$2:$B$169,AGGREGATE(15,6,ROW('DM_XaPhuong'!$B$2:$B$169)-ROW('DM_XaPhuong'!$B$2)+1/ISNUMBER(SEARCH(SUBSTITUTE(UPPER($R85)," ",""),'DM_XaPhuong'!$C$2:$C$169)),1)),"Không tìm thấy"))</f>
        <v/>
      </c>
      <c r="AB85" s="5">
        <f>IF($T85="","",IFERROR(INDEX('DM_NgheNghiep'!$B$2:$B$11,AGGREGATE(15,6,ROW('DM_NgheNghiep'!$B$2:$B$11)-ROW('DM_NgheNghiep'!$B$2)+1/ISNUMBER(SEARCH(SUBSTITUTE(UPPER($T85)," ",""),'DM_NgheNghiep'!$C$2:$C$11)),1)),"Không tìm thấy"))</f>
        <v/>
      </c>
      <c r="AD85" s="5">
        <f>IF($U85="","",IFERROR(INDEX('DM_NoiCongTac'!$B$2:$B$11,AGGREGATE(15,6,ROW('DM_NoiCongTac'!$B$2:$B$11)-ROW('DM_NoiCongTac'!$B$2)+1/ISNUMBER(SEARCH(SUBSTITUTE(UPPER($U85)," ",""),'DM_NoiCongTac'!$C$2:$C$11)),1)),"Không tìm thấy"))</f>
        <v/>
      </c>
      <c r="AF85" s="5">
        <f>IF($V85="","",IFERROR(INDEX('DM_XaPhuong'!$B$2:$B$169,AGGREGATE(15,6,ROW('DM_XaPhuong'!$B$2:$B$169)-ROW('DM_XaPhuong'!$B$2)+1/ISNUMBER(SEARCH(SUBSTITUTE(UPPER($V85)," ",""),'DM_XaPhuong'!$C$2:$C$169)),1)),"Không tìm thấy"))</f>
        <v/>
      </c>
    </row>
    <row r="86">
      <c r="C86" s="5">
        <f>IF($B86="","",IFERROR(INDEX('DM_DoiTuong'!$B$2:$B$19,AGGREGATE(15,6,ROW('DM_DoiTuong'!$B$2:$B$19)-ROW('DM_DoiTuong'!$B$2)+1/ISNUMBER(SEARCH(SUBSTITUTE(UPPER($B86)," ",""),'DM_DoiTuong'!$C$2:$C$19)),1)),"Không tìm thấy"))</f>
        <v/>
      </c>
      <c r="E86" s="5">
        <f>IF($C86="","",IFERROR(INDEX('DM_DiaDiemKham'!$B$2:$B$6,AGGREGATE(15,6,ROW('DM_DiaDiemKham'!$B$2:$B$6)-ROW('DM_DiaDiemKham'!$B$2)+1/ISNUMBER(SEARCH(SUBSTITUTE(UPPER($C86)," ",""),'DM_DiaDiemKham'!$C$2:$C$6)),1)),"Không tìm thấy"))</f>
        <v/>
      </c>
      <c r="G86" s="5">
        <f>IF($D86="","",IFERROR(INDEX('DM_HinhThucChiTra'!$B$2:$B$5,AGGREGATE(15,6,ROW('DM_HinhThucChiTra'!$B$2:$B$5)-ROW('DM_HinhThucChiTra'!$B$2)+1/ISNUMBER(SEARCH(SUBSTITUTE(UPPER($D86)," ",""),'DM_HinhThucChiTra'!$C$2:$C$5)),1)),"Không tìm thấy"))</f>
        <v/>
      </c>
      <c r="I86" s="5">
        <f>IF($E86="","",IFERROR(INDEX('DM_HinhThucKham'!$B$2:$B$3,AGGREGATE(15,6,ROW('DM_HinhThucKham'!$B$2:$B$3)-ROW('DM_HinhThucKham'!$B$2)+1/ISNUMBER(SEARCH(SUBSTITUTE(UPPER($E86)," ",""),'DM_HinhThucKham'!$C$2:$C$3)),1)),"Không tìm thấy"))</f>
        <v/>
      </c>
      <c r="P86" s="5">
        <f>IF($K86="","",IFERROR(INDEX('DM_DanToc'!$B$2:$B$78,AGGREGATE(15,6,ROW('DM_DanToc'!$B$2:$B$78)-ROW('DM_DanToc'!$B$2)+1/ISNUMBER(SEARCH(SUBSTITUTE(UPPER($K86)," ",""),'DM_DanToc'!$C$2:$C$78)),1)),"Không tìm thấy"))</f>
        <v/>
      </c>
      <c r="W86" s="5">
        <f>IF($Q86="","",IFERROR(INDEX('DM_TinhThanh'!$B$2:$B$35,AGGREGATE(15,6,ROW('DM_TinhThanh'!$B$2:$B$35)-ROW('DM_TinhThanh'!$B$2)+1/ISNUMBER(SEARCH(SUBSTITUTE(UPPER($Q86)," ",""),'DM_TinhThanh'!$C$2:$C$35)),1)),"Không tìm thấy"))</f>
        <v/>
      </c>
      <c r="Y86" s="5">
        <f>IF($R86="","",IFERROR(INDEX('DM_XaPhuong'!$B$2:$B$169,AGGREGATE(15,6,ROW('DM_XaPhuong'!$B$2:$B$169)-ROW('DM_XaPhuong'!$B$2)+1/ISNUMBER(SEARCH(SUBSTITUTE(UPPER($R86)," ",""),'DM_XaPhuong'!$C$2:$C$169)),1)),"Không tìm thấy"))</f>
        <v/>
      </c>
      <c r="AB86" s="5">
        <f>IF($T86="","",IFERROR(INDEX('DM_NgheNghiep'!$B$2:$B$11,AGGREGATE(15,6,ROW('DM_NgheNghiep'!$B$2:$B$11)-ROW('DM_NgheNghiep'!$B$2)+1/ISNUMBER(SEARCH(SUBSTITUTE(UPPER($T86)," ",""),'DM_NgheNghiep'!$C$2:$C$11)),1)),"Không tìm thấy"))</f>
        <v/>
      </c>
      <c r="AD86" s="5">
        <f>IF($U86="","",IFERROR(INDEX('DM_NoiCongTac'!$B$2:$B$11,AGGREGATE(15,6,ROW('DM_NoiCongTac'!$B$2:$B$11)-ROW('DM_NoiCongTac'!$B$2)+1/ISNUMBER(SEARCH(SUBSTITUTE(UPPER($U86)," ",""),'DM_NoiCongTac'!$C$2:$C$11)),1)),"Không tìm thấy"))</f>
        <v/>
      </c>
      <c r="AF86" s="5">
        <f>IF($V86="","",IFERROR(INDEX('DM_XaPhuong'!$B$2:$B$169,AGGREGATE(15,6,ROW('DM_XaPhuong'!$B$2:$B$169)-ROW('DM_XaPhuong'!$B$2)+1/ISNUMBER(SEARCH(SUBSTITUTE(UPPER($V86)," ",""),'DM_XaPhuong'!$C$2:$C$169)),1)),"Không tìm thấy"))</f>
        <v/>
      </c>
    </row>
    <row r="87">
      <c r="C87" s="5">
        <f>IF($B87="","",IFERROR(INDEX('DM_DoiTuong'!$B$2:$B$19,AGGREGATE(15,6,ROW('DM_DoiTuong'!$B$2:$B$19)-ROW('DM_DoiTuong'!$B$2)+1/ISNUMBER(SEARCH(SUBSTITUTE(UPPER($B87)," ",""),'DM_DoiTuong'!$C$2:$C$19)),1)),"Không tìm thấy"))</f>
        <v/>
      </c>
      <c r="E87" s="5">
        <f>IF($C87="","",IFERROR(INDEX('DM_DiaDiemKham'!$B$2:$B$6,AGGREGATE(15,6,ROW('DM_DiaDiemKham'!$B$2:$B$6)-ROW('DM_DiaDiemKham'!$B$2)+1/ISNUMBER(SEARCH(SUBSTITUTE(UPPER($C87)," ",""),'DM_DiaDiemKham'!$C$2:$C$6)),1)),"Không tìm thấy"))</f>
        <v/>
      </c>
      <c r="G87" s="5">
        <f>IF($D87="","",IFERROR(INDEX('DM_HinhThucChiTra'!$B$2:$B$5,AGGREGATE(15,6,ROW('DM_HinhThucChiTra'!$B$2:$B$5)-ROW('DM_HinhThucChiTra'!$B$2)+1/ISNUMBER(SEARCH(SUBSTITUTE(UPPER($D87)," ",""),'DM_HinhThucChiTra'!$C$2:$C$5)),1)),"Không tìm thấy"))</f>
        <v/>
      </c>
      <c r="I87" s="5">
        <f>IF($E87="","",IFERROR(INDEX('DM_HinhThucKham'!$B$2:$B$3,AGGREGATE(15,6,ROW('DM_HinhThucKham'!$B$2:$B$3)-ROW('DM_HinhThucKham'!$B$2)+1/ISNUMBER(SEARCH(SUBSTITUTE(UPPER($E87)," ",""),'DM_HinhThucKham'!$C$2:$C$3)),1)),"Không tìm thấy"))</f>
        <v/>
      </c>
      <c r="P87" s="5">
        <f>IF($K87="","",IFERROR(INDEX('DM_DanToc'!$B$2:$B$78,AGGREGATE(15,6,ROW('DM_DanToc'!$B$2:$B$78)-ROW('DM_DanToc'!$B$2)+1/ISNUMBER(SEARCH(SUBSTITUTE(UPPER($K87)," ",""),'DM_DanToc'!$C$2:$C$78)),1)),"Không tìm thấy"))</f>
        <v/>
      </c>
      <c r="W87" s="5">
        <f>IF($Q87="","",IFERROR(INDEX('DM_TinhThanh'!$B$2:$B$35,AGGREGATE(15,6,ROW('DM_TinhThanh'!$B$2:$B$35)-ROW('DM_TinhThanh'!$B$2)+1/ISNUMBER(SEARCH(SUBSTITUTE(UPPER($Q87)," ",""),'DM_TinhThanh'!$C$2:$C$35)),1)),"Không tìm thấy"))</f>
        <v/>
      </c>
      <c r="Y87" s="5">
        <f>IF($R87="","",IFERROR(INDEX('DM_XaPhuong'!$B$2:$B$169,AGGREGATE(15,6,ROW('DM_XaPhuong'!$B$2:$B$169)-ROW('DM_XaPhuong'!$B$2)+1/ISNUMBER(SEARCH(SUBSTITUTE(UPPER($R87)," ",""),'DM_XaPhuong'!$C$2:$C$169)),1)),"Không tìm thấy"))</f>
        <v/>
      </c>
      <c r="AB87" s="5">
        <f>IF($T87="","",IFERROR(INDEX('DM_NgheNghiep'!$B$2:$B$11,AGGREGATE(15,6,ROW('DM_NgheNghiep'!$B$2:$B$11)-ROW('DM_NgheNghiep'!$B$2)+1/ISNUMBER(SEARCH(SUBSTITUTE(UPPER($T87)," ",""),'DM_NgheNghiep'!$C$2:$C$11)),1)),"Không tìm thấy"))</f>
        <v/>
      </c>
      <c r="AD87" s="5">
        <f>IF($U87="","",IFERROR(INDEX('DM_NoiCongTac'!$B$2:$B$11,AGGREGATE(15,6,ROW('DM_NoiCongTac'!$B$2:$B$11)-ROW('DM_NoiCongTac'!$B$2)+1/ISNUMBER(SEARCH(SUBSTITUTE(UPPER($U87)," ",""),'DM_NoiCongTac'!$C$2:$C$11)),1)),"Không tìm thấy"))</f>
        <v/>
      </c>
      <c r="AF87" s="5">
        <f>IF($V87="","",IFERROR(INDEX('DM_XaPhuong'!$B$2:$B$169,AGGREGATE(15,6,ROW('DM_XaPhuong'!$B$2:$B$169)-ROW('DM_XaPhuong'!$B$2)+1/ISNUMBER(SEARCH(SUBSTITUTE(UPPER($V87)," ",""),'DM_XaPhuong'!$C$2:$C$169)),1)),"Không tìm thấy"))</f>
        <v/>
      </c>
    </row>
    <row r="88">
      <c r="C88" s="5">
        <f>IF($B88="","",IFERROR(INDEX('DM_DoiTuong'!$B$2:$B$19,AGGREGATE(15,6,ROW('DM_DoiTuong'!$B$2:$B$19)-ROW('DM_DoiTuong'!$B$2)+1/ISNUMBER(SEARCH(SUBSTITUTE(UPPER($B88)," ",""),'DM_DoiTuong'!$C$2:$C$19)),1)),"Không tìm thấy"))</f>
        <v/>
      </c>
      <c r="E88" s="5">
        <f>IF($C88="","",IFERROR(INDEX('DM_DiaDiemKham'!$B$2:$B$6,AGGREGATE(15,6,ROW('DM_DiaDiemKham'!$B$2:$B$6)-ROW('DM_DiaDiemKham'!$B$2)+1/ISNUMBER(SEARCH(SUBSTITUTE(UPPER($C88)," ",""),'DM_DiaDiemKham'!$C$2:$C$6)),1)),"Không tìm thấy"))</f>
        <v/>
      </c>
      <c r="G88" s="5">
        <f>IF($D88="","",IFERROR(INDEX('DM_HinhThucChiTra'!$B$2:$B$5,AGGREGATE(15,6,ROW('DM_HinhThucChiTra'!$B$2:$B$5)-ROW('DM_HinhThucChiTra'!$B$2)+1/ISNUMBER(SEARCH(SUBSTITUTE(UPPER($D88)," ",""),'DM_HinhThucChiTra'!$C$2:$C$5)),1)),"Không tìm thấy"))</f>
        <v/>
      </c>
      <c r="I88" s="5">
        <f>IF($E88="","",IFERROR(INDEX('DM_HinhThucKham'!$B$2:$B$3,AGGREGATE(15,6,ROW('DM_HinhThucKham'!$B$2:$B$3)-ROW('DM_HinhThucKham'!$B$2)+1/ISNUMBER(SEARCH(SUBSTITUTE(UPPER($E88)," ",""),'DM_HinhThucKham'!$C$2:$C$3)),1)),"Không tìm thấy"))</f>
        <v/>
      </c>
      <c r="P88" s="5">
        <f>IF($K88="","",IFERROR(INDEX('DM_DanToc'!$B$2:$B$78,AGGREGATE(15,6,ROW('DM_DanToc'!$B$2:$B$78)-ROW('DM_DanToc'!$B$2)+1/ISNUMBER(SEARCH(SUBSTITUTE(UPPER($K88)," ",""),'DM_DanToc'!$C$2:$C$78)),1)),"Không tìm thấy"))</f>
        <v/>
      </c>
      <c r="W88" s="5">
        <f>IF($Q88="","",IFERROR(INDEX('DM_TinhThanh'!$B$2:$B$35,AGGREGATE(15,6,ROW('DM_TinhThanh'!$B$2:$B$35)-ROW('DM_TinhThanh'!$B$2)+1/ISNUMBER(SEARCH(SUBSTITUTE(UPPER($Q88)," ",""),'DM_TinhThanh'!$C$2:$C$35)),1)),"Không tìm thấy"))</f>
        <v/>
      </c>
      <c r="Y88" s="5">
        <f>IF($R88="","",IFERROR(INDEX('DM_XaPhuong'!$B$2:$B$169,AGGREGATE(15,6,ROW('DM_XaPhuong'!$B$2:$B$169)-ROW('DM_XaPhuong'!$B$2)+1/ISNUMBER(SEARCH(SUBSTITUTE(UPPER($R88)," ",""),'DM_XaPhuong'!$C$2:$C$169)),1)),"Không tìm thấy"))</f>
        <v/>
      </c>
      <c r="AB88" s="5">
        <f>IF($T88="","",IFERROR(INDEX('DM_NgheNghiep'!$B$2:$B$11,AGGREGATE(15,6,ROW('DM_NgheNghiep'!$B$2:$B$11)-ROW('DM_NgheNghiep'!$B$2)+1/ISNUMBER(SEARCH(SUBSTITUTE(UPPER($T88)," ",""),'DM_NgheNghiep'!$C$2:$C$11)),1)),"Không tìm thấy"))</f>
        <v/>
      </c>
      <c r="AD88" s="5">
        <f>IF($U88="","",IFERROR(INDEX('DM_NoiCongTac'!$B$2:$B$11,AGGREGATE(15,6,ROW('DM_NoiCongTac'!$B$2:$B$11)-ROW('DM_NoiCongTac'!$B$2)+1/ISNUMBER(SEARCH(SUBSTITUTE(UPPER($U88)," ",""),'DM_NoiCongTac'!$C$2:$C$11)),1)),"Không tìm thấy"))</f>
        <v/>
      </c>
      <c r="AF88" s="5">
        <f>IF($V88="","",IFERROR(INDEX('DM_XaPhuong'!$B$2:$B$169,AGGREGATE(15,6,ROW('DM_XaPhuong'!$B$2:$B$169)-ROW('DM_XaPhuong'!$B$2)+1/ISNUMBER(SEARCH(SUBSTITUTE(UPPER($V88)," ",""),'DM_XaPhuong'!$C$2:$C$169)),1)),"Không tìm thấy"))</f>
        <v/>
      </c>
    </row>
    <row r="89">
      <c r="C89" s="5">
        <f>IF($B89="","",IFERROR(INDEX('DM_DoiTuong'!$B$2:$B$19,AGGREGATE(15,6,ROW('DM_DoiTuong'!$B$2:$B$19)-ROW('DM_DoiTuong'!$B$2)+1/ISNUMBER(SEARCH(SUBSTITUTE(UPPER($B89)," ",""),'DM_DoiTuong'!$C$2:$C$19)),1)),"Không tìm thấy"))</f>
        <v/>
      </c>
      <c r="E89" s="5">
        <f>IF($C89="","",IFERROR(INDEX('DM_DiaDiemKham'!$B$2:$B$6,AGGREGATE(15,6,ROW('DM_DiaDiemKham'!$B$2:$B$6)-ROW('DM_DiaDiemKham'!$B$2)+1/ISNUMBER(SEARCH(SUBSTITUTE(UPPER($C89)," ",""),'DM_DiaDiemKham'!$C$2:$C$6)),1)),"Không tìm thấy"))</f>
        <v/>
      </c>
      <c r="G89" s="5">
        <f>IF($D89="","",IFERROR(INDEX('DM_HinhThucChiTra'!$B$2:$B$5,AGGREGATE(15,6,ROW('DM_HinhThucChiTra'!$B$2:$B$5)-ROW('DM_HinhThucChiTra'!$B$2)+1/ISNUMBER(SEARCH(SUBSTITUTE(UPPER($D89)," ",""),'DM_HinhThucChiTra'!$C$2:$C$5)),1)),"Không tìm thấy"))</f>
        <v/>
      </c>
      <c r="I89" s="5">
        <f>IF($E89="","",IFERROR(INDEX('DM_HinhThucKham'!$B$2:$B$3,AGGREGATE(15,6,ROW('DM_HinhThucKham'!$B$2:$B$3)-ROW('DM_HinhThucKham'!$B$2)+1/ISNUMBER(SEARCH(SUBSTITUTE(UPPER($E89)," ",""),'DM_HinhThucKham'!$C$2:$C$3)),1)),"Không tìm thấy"))</f>
        <v/>
      </c>
      <c r="P89" s="5">
        <f>IF($K89="","",IFERROR(INDEX('DM_DanToc'!$B$2:$B$78,AGGREGATE(15,6,ROW('DM_DanToc'!$B$2:$B$78)-ROW('DM_DanToc'!$B$2)+1/ISNUMBER(SEARCH(SUBSTITUTE(UPPER($K89)," ",""),'DM_DanToc'!$C$2:$C$78)),1)),"Không tìm thấy"))</f>
        <v/>
      </c>
      <c r="W89" s="5">
        <f>IF($Q89="","",IFERROR(INDEX('DM_TinhThanh'!$B$2:$B$35,AGGREGATE(15,6,ROW('DM_TinhThanh'!$B$2:$B$35)-ROW('DM_TinhThanh'!$B$2)+1/ISNUMBER(SEARCH(SUBSTITUTE(UPPER($Q89)," ",""),'DM_TinhThanh'!$C$2:$C$35)),1)),"Không tìm thấy"))</f>
        <v/>
      </c>
      <c r="Y89" s="5">
        <f>IF($R89="","",IFERROR(INDEX('DM_XaPhuong'!$B$2:$B$169,AGGREGATE(15,6,ROW('DM_XaPhuong'!$B$2:$B$169)-ROW('DM_XaPhuong'!$B$2)+1/ISNUMBER(SEARCH(SUBSTITUTE(UPPER($R89)," ",""),'DM_XaPhuong'!$C$2:$C$169)),1)),"Không tìm thấy"))</f>
        <v/>
      </c>
      <c r="AB89" s="5">
        <f>IF($T89="","",IFERROR(INDEX('DM_NgheNghiep'!$B$2:$B$11,AGGREGATE(15,6,ROW('DM_NgheNghiep'!$B$2:$B$11)-ROW('DM_NgheNghiep'!$B$2)+1/ISNUMBER(SEARCH(SUBSTITUTE(UPPER($T89)," ",""),'DM_NgheNghiep'!$C$2:$C$11)),1)),"Không tìm thấy"))</f>
        <v/>
      </c>
      <c r="AD89" s="5">
        <f>IF($U89="","",IFERROR(INDEX('DM_NoiCongTac'!$B$2:$B$11,AGGREGATE(15,6,ROW('DM_NoiCongTac'!$B$2:$B$11)-ROW('DM_NoiCongTac'!$B$2)+1/ISNUMBER(SEARCH(SUBSTITUTE(UPPER($U89)," ",""),'DM_NoiCongTac'!$C$2:$C$11)),1)),"Không tìm thấy"))</f>
        <v/>
      </c>
      <c r="AF89" s="5">
        <f>IF($V89="","",IFERROR(INDEX('DM_XaPhuong'!$B$2:$B$169,AGGREGATE(15,6,ROW('DM_XaPhuong'!$B$2:$B$169)-ROW('DM_XaPhuong'!$B$2)+1/ISNUMBER(SEARCH(SUBSTITUTE(UPPER($V89)," ",""),'DM_XaPhuong'!$C$2:$C$169)),1)),"Không tìm thấy"))</f>
        <v/>
      </c>
    </row>
    <row r="90">
      <c r="C90" s="5">
        <f>IF($B90="","",IFERROR(INDEX('DM_DoiTuong'!$B$2:$B$19,AGGREGATE(15,6,ROW('DM_DoiTuong'!$B$2:$B$19)-ROW('DM_DoiTuong'!$B$2)+1/ISNUMBER(SEARCH(SUBSTITUTE(UPPER($B90)," ",""),'DM_DoiTuong'!$C$2:$C$19)),1)),"Không tìm thấy"))</f>
        <v/>
      </c>
      <c r="E90" s="5">
        <f>IF($C90="","",IFERROR(INDEX('DM_DiaDiemKham'!$B$2:$B$6,AGGREGATE(15,6,ROW('DM_DiaDiemKham'!$B$2:$B$6)-ROW('DM_DiaDiemKham'!$B$2)+1/ISNUMBER(SEARCH(SUBSTITUTE(UPPER($C90)," ",""),'DM_DiaDiemKham'!$C$2:$C$6)),1)),"Không tìm thấy"))</f>
        <v/>
      </c>
      <c r="G90" s="5">
        <f>IF($D90="","",IFERROR(INDEX('DM_HinhThucChiTra'!$B$2:$B$5,AGGREGATE(15,6,ROW('DM_HinhThucChiTra'!$B$2:$B$5)-ROW('DM_HinhThucChiTra'!$B$2)+1/ISNUMBER(SEARCH(SUBSTITUTE(UPPER($D90)," ",""),'DM_HinhThucChiTra'!$C$2:$C$5)),1)),"Không tìm thấy"))</f>
        <v/>
      </c>
      <c r="I90" s="5">
        <f>IF($E90="","",IFERROR(INDEX('DM_HinhThucKham'!$B$2:$B$3,AGGREGATE(15,6,ROW('DM_HinhThucKham'!$B$2:$B$3)-ROW('DM_HinhThucKham'!$B$2)+1/ISNUMBER(SEARCH(SUBSTITUTE(UPPER($E90)," ",""),'DM_HinhThucKham'!$C$2:$C$3)),1)),"Không tìm thấy"))</f>
        <v/>
      </c>
      <c r="P90" s="5">
        <f>IF($K90="","",IFERROR(INDEX('DM_DanToc'!$B$2:$B$78,AGGREGATE(15,6,ROW('DM_DanToc'!$B$2:$B$78)-ROW('DM_DanToc'!$B$2)+1/ISNUMBER(SEARCH(SUBSTITUTE(UPPER($K90)," ",""),'DM_DanToc'!$C$2:$C$78)),1)),"Không tìm thấy"))</f>
        <v/>
      </c>
      <c r="W90" s="5">
        <f>IF($Q90="","",IFERROR(INDEX('DM_TinhThanh'!$B$2:$B$35,AGGREGATE(15,6,ROW('DM_TinhThanh'!$B$2:$B$35)-ROW('DM_TinhThanh'!$B$2)+1/ISNUMBER(SEARCH(SUBSTITUTE(UPPER($Q90)," ",""),'DM_TinhThanh'!$C$2:$C$35)),1)),"Không tìm thấy"))</f>
        <v/>
      </c>
      <c r="Y90" s="5">
        <f>IF($R90="","",IFERROR(INDEX('DM_XaPhuong'!$B$2:$B$169,AGGREGATE(15,6,ROW('DM_XaPhuong'!$B$2:$B$169)-ROW('DM_XaPhuong'!$B$2)+1/ISNUMBER(SEARCH(SUBSTITUTE(UPPER($R90)," ",""),'DM_XaPhuong'!$C$2:$C$169)),1)),"Không tìm thấy"))</f>
        <v/>
      </c>
      <c r="AB90" s="5">
        <f>IF($T90="","",IFERROR(INDEX('DM_NgheNghiep'!$B$2:$B$11,AGGREGATE(15,6,ROW('DM_NgheNghiep'!$B$2:$B$11)-ROW('DM_NgheNghiep'!$B$2)+1/ISNUMBER(SEARCH(SUBSTITUTE(UPPER($T90)," ",""),'DM_NgheNghiep'!$C$2:$C$11)),1)),"Không tìm thấy"))</f>
        <v/>
      </c>
      <c r="AD90" s="5">
        <f>IF($U90="","",IFERROR(INDEX('DM_NoiCongTac'!$B$2:$B$11,AGGREGATE(15,6,ROW('DM_NoiCongTac'!$B$2:$B$11)-ROW('DM_NoiCongTac'!$B$2)+1/ISNUMBER(SEARCH(SUBSTITUTE(UPPER($U90)," ",""),'DM_NoiCongTac'!$C$2:$C$11)),1)),"Không tìm thấy"))</f>
        <v/>
      </c>
      <c r="AF90" s="5">
        <f>IF($V90="","",IFERROR(INDEX('DM_XaPhuong'!$B$2:$B$169,AGGREGATE(15,6,ROW('DM_XaPhuong'!$B$2:$B$169)-ROW('DM_XaPhuong'!$B$2)+1/ISNUMBER(SEARCH(SUBSTITUTE(UPPER($V90)," ",""),'DM_XaPhuong'!$C$2:$C$169)),1)),"Không tìm thấy"))</f>
        <v/>
      </c>
    </row>
    <row r="91">
      <c r="C91" s="5">
        <f>IF($B91="","",IFERROR(INDEX('DM_DoiTuong'!$B$2:$B$19,AGGREGATE(15,6,ROW('DM_DoiTuong'!$B$2:$B$19)-ROW('DM_DoiTuong'!$B$2)+1/ISNUMBER(SEARCH(SUBSTITUTE(UPPER($B91)," ",""),'DM_DoiTuong'!$C$2:$C$19)),1)),"Không tìm thấy"))</f>
        <v/>
      </c>
      <c r="E91" s="5">
        <f>IF($C91="","",IFERROR(INDEX('DM_DiaDiemKham'!$B$2:$B$6,AGGREGATE(15,6,ROW('DM_DiaDiemKham'!$B$2:$B$6)-ROW('DM_DiaDiemKham'!$B$2)+1/ISNUMBER(SEARCH(SUBSTITUTE(UPPER($C91)," ",""),'DM_DiaDiemKham'!$C$2:$C$6)),1)),"Không tìm thấy"))</f>
        <v/>
      </c>
      <c r="G91" s="5">
        <f>IF($D91="","",IFERROR(INDEX('DM_HinhThucChiTra'!$B$2:$B$5,AGGREGATE(15,6,ROW('DM_HinhThucChiTra'!$B$2:$B$5)-ROW('DM_HinhThucChiTra'!$B$2)+1/ISNUMBER(SEARCH(SUBSTITUTE(UPPER($D91)," ",""),'DM_HinhThucChiTra'!$C$2:$C$5)),1)),"Không tìm thấy"))</f>
        <v/>
      </c>
      <c r="I91" s="5">
        <f>IF($E91="","",IFERROR(INDEX('DM_HinhThucKham'!$B$2:$B$3,AGGREGATE(15,6,ROW('DM_HinhThucKham'!$B$2:$B$3)-ROW('DM_HinhThucKham'!$B$2)+1/ISNUMBER(SEARCH(SUBSTITUTE(UPPER($E91)," ",""),'DM_HinhThucKham'!$C$2:$C$3)),1)),"Không tìm thấy"))</f>
        <v/>
      </c>
      <c r="P91" s="5">
        <f>IF($K91="","",IFERROR(INDEX('DM_DanToc'!$B$2:$B$78,AGGREGATE(15,6,ROW('DM_DanToc'!$B$2:$B$78)-ROW('DM_DanToc'!$B$2)+1/ISNUMBER(SEARCH(SUBSTITUTE(UPPER($K91)," ",""),'DM_DanToc'!$C$2:$C$78)),1)),"Không tìm thấy"))</f>
        <v/>
      </c>
      <c r="W91" s="5">
        <f>IF($Q91="","",IFERROR(INDEX('DM_TinhThanh'!$B$2:$B$35,AGGREGATE(15,6,ROW('DM_TinhThanh'!$B$2:$B$35)-ROW('DM_TinhThanh'!$B$2)+1/ISNUMBER(SEARCH(SUBSTITUTE(UPPER($Q91)," ",""),'DM_TinhThanh'!$C$2:$C$35)),1)),"Không tìm thấy"))</f>
        <v/>
      </c>
      <c r="Y91" s="5">
        <f>IF($R91="","",IFERROR(INDEX('DM_XaPhuong'!$B$2:$B$169,AGGREGATE(15,6,ROW('DM_XaPhuong'!$B$2:$B$169)-ROW('DM_XaPhuong'!$B$2)+1/ISNUMBER(SEARCH(SUBSTITUTE(UPPER($R91)," ",""),'DM_XaPhuong'!$C$2:$C$169)),1)),"Không tìm thấy"))</f>
        <v/>
      </c>
      <c r="AB91" s="5">
        <f>IF($T91="","",IFERROR(INDEX('DM_NgheNghiep'!$B$2:$B$11,AGGREGATE(15,6,ROW('DM_NgheNghiep'!$B$2:$B$11)-ROW('DM_NgheNghiep'!$B$2)+1/ISNUMBER(SEARCH(SUBSTITUTE(UPPER($T91)," ",""),'DM_NgheNghiep'!$C$2:$C$11)),1)),"Không tìm thấy"))</f>
        <v/>
      </c>
      <c r="AD91" s="5">
        <f>IF($U91="","",IFERROR(INDEX('DM_NoiCongTac'!$B$2:$B$11,AGGREGATE(15,6,ROW('DM_NoiCongTac'!$B$2:$B$11)-ROW('DM_NoiCongTac'!$B$2)+1/ISNUMBER(SEARCH(SUBSTITUTE(UPPER($U91)," ",""),'DM_NoiCongTac'!$C$2:$C$11)),1)),"Không tìm thấy"))</f>
        <v/>
      </c>
      <c r="AF91" s="5">
        <f>IF($V91="","",IFERROR(INDEX('DM_XaPhuong'!$B$2:$B$169,AGGREGATE(15,6,ROW('DM_XaPhuong'!$B$2:$B$169)-ROW('DM_XaPhuong'!$B$2)+1/ISNUMBER(SEARCH(SUBSTITUTE(UPPER($V91)," ",""),'DM_XaPhuong'!$C$2:$C$169)),1)),"Không tìm thấy"))</f>
        <v/>
      </c>
    </row>
    <row r="92">
      <c r="C92" s="5">
        <f>IF($B92="","",IFERROR(INDEX('DM_DoiTuong'!$B$2:$B$19,AGGREGATE(15,6,ROW('DM_DoiTuong'!$B$2:$B$19)-ROW('DM_DoiTuong'!$B$2)+1/ISNUMBER(SEARCH(SUBSTITUTE(UPPER($B92)," ",""),'DM_DoiTuong'!$C$2:$C$19)),1)),"Không tìm thấy"))</f>
        <v/>
      </c>
      <c r="E92" s="5">
        <f>IF($C92="","",IFERROR(INDEX('DM_DiaDiemKham'!$B$2:$B$6,AGGREGATE(15,6,ROW('DM_DiaDiemKham'!$B$2:$B$6)-ROW('DM_DiaDiemKham'!$B$2)+1/ISNUMBER(SEARCH(SUBSTITUTE(UPPER($C92)," ",""),'DM_DiaDiemKham'!$C$2:$C$6)),1)),"Không tìm thấy"))</f>
        <v/>
      </c>
      <c r="G92" s="5">
        <f>IF($D92="","",IFERROR(INDEX('DM_HinhThucChiTra'!$B$2:$B$5,AGGREGATE(15,6,ROW('DM_HinhThucChiTra'!$B$2:$B$5)-ROW('DM_HinhThucChiTra'!$B$2)+1/ISNUMBER(SEARCH(SUBSTITUTE(UPPER($D92)," ",""),'DM_HinhThucChiTra'!$C$2:$C$5)),1)),"Không tìm thấy"))</f>
        <v/>
      </c>
      <c r="I92" s="5">
        <f>IF($E92="","",IFERROR(INDEX('DM_HinhThucKham'!$B$2:$B$3,AGGREGATE(15,6,ROW('DM_HinhThucKham'!$B$2:$B$3)-ROW('DM_HinhThucKham'!$B$2)+1/ISNUMBER(SEARCH(SUBSTITUTE(UPPER($E92)," ",""),'DM_HinhThucKham'!$C$2:$C$3)),1)),"Không tìm thấy"))</f>
        <v/>
      </c>
      <c r="P92" s="5">
        <f>IF($K92="","",IFERROR(INDEX('DM_DanToc'!$B$2:$B$78,AGGREGATE(15,6,ROW('DM_DanToc'!$B$2:$B$78)-ROW('DM_DanToc'!$B$2)+1/ISNUMBER(SEARCH(SUBSTITUTE(UPPER($K92)," ",""),'DM_DanToc'!$C$2:$C$78)),1)),"Không tìm thấy"))</f>
        <v/>
      </c>
      <c r="W92" s="5">
        <f>IF($Q92="","",IFERROR(INDEX('DM_TinhThanh'!$B$2:$B$35,AGGREGATE(15,6,ROW('DM_TinhThanh'!$B$2:$B$35)-ROW('DM_TinhThanh'!$B$2)+1/ISNUMBER(SEARCH(SUBSTITUTE(UPPER($Q92)," ",""),'DM_TinhThanh'!$C$2:$C$35)),1)),"Không tìm thấy"))</f>
        <v/>
      </c>
      <c r="Y92" s="5">
        <f>IF($R92="","",IFERROR(INDEX('DM_XaPhuong'!$B$2:$B$169,AGGREGATE(15,6,ROW('DM_XaPhuong'!$B$2:$B$169)-ROW('DM_XaPhuong'!$B$2)+1/ISNUMBER(SEARCH(SUBSTITUTE(UPPER($R92)," ",""),'DM_XaPhuong'!$C$2:$C$169)),1)),"Không tìm thấy"))</f>
        <v/>
      </c>
      <c r="AB92" s="5">
        <f>IF($T92="","",IFERROR(INDEX('DM_NgheNghiep'!$B$2:$B$11,AGGREGATE(15,6,ROW('DM_NgheNghiep'!$B$2:$B$11)-ROW('DM_NgheNghiep'!$B$2)+1/ISNUMBER(SEARCH(SUBSTITUTE(UPPER($T92)," ",""),'DM_NgheNghiep'!$C$2:$C$11)),1)),"Không tìm thấy"))</f>
        <v/>
      </c>
      <c r="AD92" s="5">
        <f>IF($U92="","",IFERROR(INDEX('DM_NoiCongTac'!$B$2:$B$11,AGGREGATE(15,6,ROW('DM_NoiCongTac'!$B$2:$B$11)-ROW('DM_NoiCongTac'!$B$2)+1/ISNUMBER(SEARCH(SUBSTITUTE(UPPER($U92)," ",""),'DM_NoiCongTac'!$C$2:$C$11)),1)),"Không tìm thấy"))</f>
        <v/>
      </c>
      <c r="AF92" s="5">
        <f>IF($V92="","",IFERROR(INDEX('DM_XaPhuong'!$B$2:$B$169,AGGREGATE(15,6,ROW('DM_XaPhuong'!$B$2:$B$169)-ROW('DM_XaPhuong'!$B$2)+1/ISNUMBER(SEARCH(SUBSTITUTE(UPPER($V92)," ",""),'DM_XaPhuong'!$C$2:$C$169)),1)),"Không tìm thấy"))</f>
        <v/>
      </c>
    </row>
    <row r="93">
      <c r="C93" s="5">
        <f>IF($B93="","",IFERROR(INDEX('DM_DoiTuong'!$B$2:$B$19,AGGREGATE(15,6,ROW('DM_DoiTuong'!$B$2:$B$19)-ROW('DM_DoiTuong'!$B$2)+1/ISNUMBER(SEARCH(SUBSTITUTE(UPPER($B93)," ",""),'DM_DoiTuong'!$C$2:$C$19)),1)),"Không tìm thấy"))</f>
        <v/>
      </c>
      <c r="E93" s="5">
        <f>IF($C93="","",IFERROR(INDEX('DM_DiaDiemKham'!$B$2:$B$6,AGGREGATE(15,6,ROW('DM_DiaDiemKham'!$B$2:$B$6)-ROW('DM_DiaDiemKham'!$B$2)+1/ISNUMBER(SEARCH(SUBSTITUTE(UPPER($C93)," ",""),'DM_DiaDiemKham'!$C$2:$C$6)),1)),"Không tìm thấy"))</f>
        <v/>
      </c>
      <c r="G93" s="5">
        <f>IF($D93="","",IFERROR(INDEX('DM_HinhThucChiTra'!$B$2:$B$5,AGGREGATE(15,6,ROW('DM_HinhThucChiTra'!$B$2:$B$5)-ROW('DM_HinhThucChiTra'!$B$2)+1/ISNUMBER(SEARCH(SUBSTITUTE(UPPER($D93)," ",""),'DM_HinhThucChiTra'!$C$2:$C$5)),1)),"Không tìm thấy"))</f>
        <v/>
      </c>
      <c r="I93" s="5">
        <f>IF($E93="","",IFERROR(INDEX('DM_HinhThucKham'!$B$2:$B$3,AGGREGATE(15,6,ROW('DM_HinhThucKham'!$B$2:$B$3)-ROW('DM_HinhThucKham'!$B$2)+1/ISNUMBER(SEARCH(SUBSTITUTE(UPPER($E93)," ",""),'DM_HinhThucKham'!$C$2:$C$3)),1)),"Không tìm thấy"))</f>
        <v/>
      </c>
      <c r="P93" s="5">
        <f>IF($K93="","",IFERROR(INDEX('DM_DanToc'!$B$2:$B$78,AGGREGATE(15,6,ROW('DM_DanToc'!$B$2:$B$78)-ROW('DM_DanToc'!$B$2)+1/ISNUMBER(SEARCH(SUBSTITUTE(UPPER($K93)," ",""),'DM_DanToc'!$C$2:$C$78)),1)),"Không tìm thấy"))</f>
        <v/>
      </c>
      <c r="W93" s="5">
        <f>IF($Q93="","",IFERROR(INDEX('DM_TinhThanh'!$B$2:$B$35,AGGREGATE(15,6,ROW('DM_TinhThanh'!$B$2:$B$35)-ROW('DM_TinhThanh'!$B$2)+1/ISNUMBER(SEARCH(SUBSTITUTE(UPPER($Q93)," ",""),'DM_TinhThanh'!$C$2:$C$35)),1)),"Không tìm thấy"))</f>
        <v/>
      </c>
      <c r="Y93" s="5">
        <f>IF($R93="","",IFERROR(INDEX('DM_XaPhuong'!$B$2:$B$169,AGGREGATE(15,6,ROW('DM_XaPhuong'!$B$2:$B$169)-ROW('DM_XaPhuong'!$B$2)+1/ISNUMBER(SEARCH(SUBSTITUTE(UPPER($R93)," ",""),'DM_XaPhuong'!$C$2:$C$169)),1)),"Không tìm thấy"))</f>
        <v/>
      </c>
      <c r="AB93" s="5">
        <f>IF($T93="","",IFERROR(INDEX('DM_NgheNghiep'!$B$2:$B$11,AGGREGATE(15,6,ROW('DM_NgheNghiep'!$B$2:$B$11)-ROW('DM_NgheNghiep'!$B$2)+1/ISNUMBER(SEARCH(SUBSTITUTE(UPPER($T93)," ",""),'DM_NgheNghiep'!$C$2:$C$11)),1)),"Không tìm thấy"))</f>
        <v/>
      </c>
      <c r="AD93" s="5">
        <f>IF($U93="","",IFERROR(INDEX('DM_NoiCongTac'!$B$2:$B$11,AGGREGATE(15,6,ROW('DM_NoiCongTac'!$B$2:$B$11)-ROW('DM_NoiCongTac'!$B$2)+1/ISNUMBER(SEARCH(SUBSTITUTE(UPPER($U93)," ",""),'DM_NoiCongTac'!$C$2:$C$11)),1)),"Không tìm thấy"))</f>
        <v/>
      </c>
      <c r="AF93" s="5">
        <f>IF($V93="","",IFERROR(INDEX('DM_XaPhuong'!$B$2:$B$169,AGGREGATE(15,6,ROW('DM_XaPhuong'!$B$2:$B$169)-ROW('DM_XaPhuong'!$B$2)+1/ISNUMBER(SEARCH(SUBSTITUTE(UPPER($V93)," ",""),'DM_XaPhuong'!$C$2:$C$169)),1)),"Không tìm thấy"))</f>
        <v/>
      </c>
    </row>
    <row r="94">
      <c r="C94" s="5">
        <f>IF($B94="","",IFERROR(INDEX('DM_DoiTuong'!$B$2:$B$19,AGGREGATE(15,6,ROW('DM_DoiTuong'!$B$2:$B$19)-ROW('DM_DoiTuong'!$B$2)+1/ISNUMBER(SEARCH(SUBSTITUTE(UPPER($B94)," ",""),'DM_DoiTuong'!$C$2:$C$19)),1)),"Không tìm thấy"))</f>
        <v/>
      </c>
      <c r="E94" s="5">
        <f>IF($C94="","",IFERROR(INDEX('DM_DiaDiemKham'!$B$2:$B$6,AGGREGATE(15,6,ROW('DM_DiaDiemKham'!$B$2:$B$6)-ROW('DM_DiaDiemKham'!$B$2)+1/ISNUMBER(SEARCH(SUBSTITUTE(UPPER($C94)," ",""),'DM_DiaDiemKham'!$C$2:$C$6)),1)),"Không tìm thấy"))</f>
        <v/>
      </c>
      <c r="G94" s="5">
        <f>IF($D94="","",IFERROR(INDEX('DM_HinhThucChiTra'!$B$2:$B$5,AGGREGATE(15,6,ROW('DM_HinhThucChiTra'!$B$2:$B$5)-ROW('DM_HinhThucChiTra'!$B$2)+1/ISNUMBER(SEARCH(SUBSTITUTE(UPPER($D94)," ",""),'DM_HinhThucChiTra'!$C$2:$C$5)),1)),"Không tìm thấy"))</f>
        <v/>
      </c>
      <c r="I94" s="5">
        <f>IF($E94="","",IFERROR(INDEX('DM_HinhThucKham'!$B$2:$B$3,AGGREGATE(15,6,ROW('DM_HinhThucKham'!$B$2:$B$3)-ROW('DM_HinhThucKham'!$B$2)+1/ISNUMBER(SEARCH(SUBSTITUTE(UPPER($E94)," ",""),'DM_HinhThucKham'!$C$2:$C$3)),1)),"Không tìm thấy"))</f>
        <v/>
      </c>
      <c r="P94" s="5">
        <f>IF($K94="","",IFERROR(INDEX('DM_DanToc'!$B$2:$B$78,AGGREGATE(15,6,ROW('DM_DanToc'!$B$2:$B$78)-ROW('DM_DanToc'!$B$2)+1/ISNUMBER(SEARCH(SUBSTITUTE(UPPER($K94)," ",""),'DM_DanToc'!$C$2:$C$78)),1)),"Không tìm thấy"))</f>
        <v/>
      </c>
      <c r="W94" s="5">
        <f>IF($Q94="","",IFERROR(INDEX('DM_TinhThanh'!$B$2:$B$35,AGGREGATE(15,6,ROW('DM_TinhThanh'!$B$2:$B$35)-ROW('DM_TinhThanh'!$B$2)+1/ISNUMBER(SEARCH(SUBSTITUTE(UPPER($Q94)," ",""),'DM_TinhThanh'!$C$2:$C$35)),1)),"Không tìm thấy"))</f>
        <v/>
      </c>
      <c r="Y94" s="5">
        <f>IF($R94="","",IFERROR(INDEX('DM_XaPhuong'!$B$2:$B$169,AGGREGATE(15,6,ROW('DM_XaPhuong'!$B$2:$B$169)-ROW('DM_XaPhuong'!$B$2)+1/ISNUMBER(SEARCH(SUBSTITUTE(UPPER($R94)," ",""),'DM_XaPhuong'!$C$2:$C$169)),1)),"Không tìm thấy"))</f>
        <v/>
      </c>
      <c r="AB94" s="5">
        <f>IF($T94="","",IFERROR(INDEX('DM_NgheNghiep'!$B$2:$B$11,AGGREGATE(15,6,ROW('DM_NgheNghiep'!$B$2:$B$11)-ROW('DM_NgheNghiep'!$B$2)+1/ISNUMBER(SEARCH(SUBSTITUTE(UPPER($T94)," ",""),'DM_NgheNghiep'!$C$2:$C$11)),1)),"Không tìm thấy"))</f>
        <v/>
      </c>
      <c r="AD94" s="5">
        <f>IF($U94="","",IFERROR(INDEX('DM_NoiCongTac'!$B$2:$B$11,AGGREGATE(15,6,ROW('DM_NoiCongTac'!$B$2:$B$11)-ROW('DM_NoiCongTac'!$B$2)+1/ISNUMBER(SEARCH(SUBSTITUTE(UPPER($U94)," ",""),'DM_NoiCongTac'!$C$2:$C$11)),1)),"Không tìm thấy"))</f>
        <v/>
      </c>
      <c r="AF94" s="5">
        <f>IF($V94="","",IFERROR(INDEX('DM_XaPhuong'!$B$2:$B$169,AGGREGATE(15,6,ROW('DM_XaPhuong'!$B$2:$B$169)-ROW('DM_XaPhuong'!$B$2)+1/ISNUMBER(SEARCH(SUBSTITUTE(UPPER($V94)," ",""),'DM_XaPhuong'!$C$2:$C$169)),1)),"Không tìm thấy"))</f>
        <v/>
      </c>
    </row>
    <row r="95">
      <c r="C95" s="5">
        <f>IF($B95="","",IFERROR(INDEX('DM_DoiTuong'!$B$2:$B$19,AGGREGATE(15,6,ROW('DM_DoiTuong'!$B$2:$B$19)-ROW('DM_DoiTuong'!$B$2)+1/ISNUMBER(SEARCH(SUBSTITUTE(UPPER($B95)," ",""),'DM_DoiTuong'!$C$2:$C$19)),1)),"Không tìm thấy"))</f>
        <v/>
      </c>
      <c r="E95" s="5">
        <f>IF($C95="","",IFERROR(INDEX('DM_DiaDiemKham'!$B$2:$B$6,AGGREGATE(15,6,ROW('DM_DiaDiemKham'!$B$2:$B$6)-ROW('DM_DiaDiemKham'!$B$2)+1/ISNUMBER(SEARCH(SUBSTITUTE(UPPER($C95)," ",""),'DM_DiaDiemKham'!$C$2:$C$6)),1)),"Không tìm thấy"))</f>
        <v/>
      </c>
      <c r="G95" s="5">
        <f>IF($D95="","",IFERROR(INDEX('DM_HinhThucChiTra'!$B$2:$B$5,AGGREGATE(15,6,ROW('DM_HinhThucChiTra'!$B$2:$B$5)-ROW('DM_HinhThucChiTra'!$B$2)+1/ISNUMBER(SEARCH(SUBSTITUTE(UPPER($D95)," ",""),'DM_HinhThucChiTra'!$C$2:$C$5)),1)),"Không tìm thấy"))</f>
        <v/>
      </c>
      <c r="I95" s="5">
        <f>IF($E95="","",IFERROR(INDEX('DM_HinhThucKham'!$B$2:$B$3,AGGREGATE(15,6,ROW('DM_HinhThucKham'!$B$2:$B$3)-ROW('DM_HinhThucKham'!$B$2)+1/ISNUMBER(SEARCH(SUBSTITUTE(UPPER($E95)," ",""),'DM_HinhThucKham'!$C$2:$C$3)),1)),"Không tìm thấy"))</f>
        <v/>
      </c>
      <c r="P95" s="5">
        <f>IF($K95="","",IFERROR(INDEX('DM_DanToc'!$B$2:$B$78,AGGREGATE(15,6,ROW('DM_DanToc'!$B$2:$B$78)-ROW('DM_DanToc'!$B$2)+1/ISNUMBER(SEARCH(SUBSTITUTE(UPPER($K95)," ",""),'DM_DanToc'!$C$2:$C$78)),1)),"Không tìm thấy"))</f>
        <v/>
      </c>
      <c r="W95" s="5">
        <f>IF($Q95="","",IFERROR(INDEX('DM_TinhThanh'!$B$2:$B$35,AGGREGATE(15,6,ROW('DM_TinhThanh'!$B$2:$B$35)-ROW('DM_TinhThanh'!$B$2)+1/ISNUMBER(SEARCH(SUBSTITUTE(UPPER($Q95)," ",""),'DM_TinhThanh'!$C$2:$C$35)),1)),"Không tìm thấy"))</f>
        <v/>
      </c>
      <c r="Y95" s="5">
        <f>IF($R95="","",IFERROR(INDEX('DM_XaPhuong'!$B$2:$B$169,AGGREGATE(15,6,ROW('DM_XaPhuong'!$B$2:$B$169)-ROW('DM_XaPhuong'!$B$2)+1/ISNUMBER(SEARCH(SUBSTITUTE(UPPER($R95)," ",""),'DM_XaPhuong'!$C$2:$C$169)),1)),"Không tìm thấy"))</f>
        <v/>
      </c>
      <c r="AB95" s="5">
        <f>IF($T95="","",IFERROR(INDEX('DM_NgheNghiep'!$B$2:$B$11,AGGREGATE(15,6,ROW('DM_NgheNghiep'!$B$2:$B$11)-ROW('DM_NgheNghiep'!$B$2)+1/ISNUMBER(SEARCH(SUBSTITUTE(UPPER($T95)," ",""),'DM_NgheNghiep'!$C$2:$C$11)),1)),"Không tìm thấy"))</f>
        <v/>
      </c>
      <c r="AD95" s="5">
        <f>IF($U95="","",IFERROR(INDEX('DM_NoiCongTac'!$B$2:$B$11,AGGREGATE(15,6,ROW('DM_NoiCongTac'!$B$2:$B$11)-ROW('DM_NoiCongTac'!$B$2)+1/ISNUMBER(SEARCH(SUBSTITUTE(UPPER($U95)," ",""),'DM_NoiCongTac'!$C$2:$C$11)),1)),"Không tìm thấy"))</f>
        <v/>
      </c>
      <c r="AF95" s="5">
        <f>IF($V95="","",IFERROR(INDEX('DM_XaPhuong'!$B$2:$B$169,AGGREGATE(15,6,ROW('DM_XaPhuong'!$B$2:$B$169)-ROW('DM_XaPhuong'!$B$2)+1/ISNUMBER(SEARCH(SUBSTITUTE(UPPER($V95)," ",""),'DM_XaPhuong'!$C$2:$C$169)),1)),"Không tìm thấy"))</f>
        <v/>
      </c>
    </row>
    <row r="96">
      <c r="C96" s="5">
        <f>IF($B96="","",IFERROR(INDEX('DM_DoiTuong'!$B$2:$B$19,AGGREGATE(15,6,ROW('DM_DoiTuong'!$B$2:$B$19)-ROW('DM_DoiTuong'!$B$2)+1/ISNUMBER(SEARCH(SUBSTITUTE(UPPER($B96)," ",""),'DM_DoiTuong'!$C$2:$C$19)),1)),"Không tìm thấy"))</f>
        <v/>
      </c>
      <c r="E96" s="5">
        <f>IF($C96="","",IFERROR(INDEX('DM_DiaDiemKham'!$B$2:$B$6,AGGREGATE(15,6,ROW('DM_DiaDiemKham'!$B$2:$B$6)-ROW('DM_DiaDiemKham'!$B$2)+1/ISNUMBER(SEARCH(SUBSTITUTE(UPPER($C96)," ",""),'DM_DiaDiemKham'!$C$2:$C$6)),1)),"Không tìm thấy"))</f>
        <v/>
      </c>
      <c r="G96" s="5">
        <f>IF($D96="","",IFERROR(INDEX('DM_HinhThucChiTra'!$B$2:$B$5,AGGREGATE(15,6,ROW('DM_HinhThucChiTra'!$B$2:$B$5)-ROW('DM_HinhThucChiTra'!$B$2)+1/ISNUMBER(SEARCH(SUBSTITUTE(UPPER($D96)," ",""),'DM_HinhThucChiTra'!$C$2:$C$5)),1)),"Không tìm thấy"))</f>
        <v/>
      </c>
      <c r="I96" s="5">
        <f>IF($E96="","",IFERROR(INDEX('DM_HinhThucKham'!$B$2:$B$3,AGGREGATE(15,6,ROW('DM_HinhThucKham'!$B$2:$B$3)-ROW('DM_HinhThucKham'!$B$2)+1/ISNUMBER(SEARCH(SUBSTITUTE(UPPER($E96)," ",""),'DM_HinhThucKham'!$C$2:$C$3)),1)),"Không tìm thấy"))</f>
        <v/>
      </c>
      <c r="P96" s="5">
        <f>IF($K96="","",IFERROR(INDEX('DM_DanToc'!$B$2:$B$78,AGGREGATE(15,6,ROW('DM_DanToc'!$B$2:$B$78)-ROW('DM_DanToc'!$B$2)+1/ISNUMBER(SEARCH(SUBSTITUTE(UPPER($K96)," ",""),'DM_DanToc'!$C$2:$C$78)),1)),"Không tìm thấy"))</f>
        <v/>
      </c>
      <c r="W96" s="5">
        <f>IF($Q96="","",IFERROR(INDEX('DM_TinhThanh'!$B$2:$B$35,AGGREGATE(15,6,ROW('DM_TinhThanh'!$B$2:$B$35)-ROW('DM_TinhThanh'!$B$2)+1/ISNUMBER(SEARCH(SUBSTITUTE(UPPER($Q96)," ",""),'DM_TinhThanh'!$C$2:$C$35)),1)),"Không tìm thấy"))</f>
        <v/>
      </c>
      <c r="Y96" s="5">
        <f>IF($R96="","",IFERROR(INDEX('DM_XaPhuong'!$B$2:$B$169,AGGREGATE(15,6,ROW('DM_XaPhuong'!$B$2:$B$169)-ROW('DM_XaPhuong'!$B$2)+1/ISNUMBER(SEARCH(SUBSTITUTE(UPPER($R96)," ",""),'DM_XaPhuong'!$C$2:$C$169)),1)),"Không tìm thấy"))</f>
        <v/>
      </c>
      <c r="AB96" s="5">
        <f>IF($T96="","",IFERROR(INDEX('DM_NgheNghiep'!$B$2:$B$11,AGGREGATE(15,6,ROW('DM_NgheNghiep'!$B$2:$B$11)-ROW('DM_NgheNghiep'!$B$2)+1/ISNUMBER(SEARCH(SUBSTITUTE(UPPER($T96)," ",""),'DM_NgheNghiep'!$C$2:$C$11)),1)),"Không tìm thấy"))</f>
        <v/>
      </c>
      <c r="AD96" s="5">
        <f>IF($U96="","",IFERROR(INDEX('DM_NoiCongTac'!$B$2:$B$11,AGGREGATE(15,6,ROW('DM_NoiCongTac'!$B$2:$B$11)-ROW('DM_NoiCongTac'!$B$2)+1/ISNUMBER(SEARCH(SUBSTITUTE(UPPER($U96)," ",""),'DM_NoiCongTac'!$C$2:$C$11)),1)),"Không tìm thấy"))</f>
        <v/>
      </c>
      <c r="AF96" s="5">
        <f>IF($V96="","",IFERROR(INDEX('DM_XaPhuong'!$B$2:$B$169,AGGREGATE(15,6,ROW('DM_XaPhuong'!$B$2:$B$169)-ROW('DM_XaPhuong'!$B$2)+1/ISNUMBER(SEARCH(SUBSTITUTE(UPPER($V96)," ",""),'DM_XaPhuong'!$C$2:$C$169)),1)),"Không tìm thấy"))</f>
        <v/>
      </c>
    </row>
    <row r="97">
      <c r="C97" s="5">
        <f>IF($B97="","",IFERROR(INDEX('DM_DoiTuong'!$B$2:$B$19,AGGREGATE(15,6,ROW('DM_DoiTuong'!$B$2:$B$19)-ROW('DM_DoiTuong'!$B$2)+1/ISNUMBER(SEARCH(SUBSTITUTE(UPPER($B97)," ",""),'DM_DoiTuong'!$C$2:$C$19)),1)),"Không tìm thấy"))</f>
        <v/>
      </c>
      <c r="E97" s="5">
        <f>IF($C97="","",IFERROR(INDEX('DM_DiaDiemKham'!$B$2:$B$6,AGGREGATE(15,6,ROW('DM_DiaDiemKham'!$B$2:$B$6)-ROW('DM_DiaDiemKham'!$B$2)+1/ISNUMBER(SEARCH(SUBSTITUTE(UPPER($C97)," ",""),'DM_DiaDiemKham'!$C$2:$C$6)),1)),"Không tìm thấy"))</f>
        <v/>
      </c>
      <c r="G97" s="5">
        <f>IF($D97="","",IFERROR(INDEX('DM_HinhThucChiTra'!$B$2:$B$5,AGGREGATE(15,6,ROW('DM_HinhThucChiTra'!$B$2:$B$5)-ROW('DM_HinhThucChiTra'!$B$2)+1/ISNUMBER(SEARCH(SUBSTITUTE(UPPER($D97)," ",""),'DM_HinhThucChiTra'!$C$2:$C$5)),1)),"Không tìm thấy"))</f>
        <v/>
      </c>
      <c r="I97" s="5">
        <f>IF($E97="","",IFERROR(INDEX('DM_HinhThucKham'!$B$2:$B$3,AGGREGATE(15,6,ROW('DM_HinhThucKham'!$B$2:$B$3)-ROW('DM_HinhThucKham'!$B$2)+1/ISNUMBER(SEARCH(SUBSTITUTE(UPPER($E97)," ",""),'DM_HinhThucKham'!$C$2:$C$3)),1)),"Không tìm thấy"))</f>
        <v/>
      </c>
      <c r="P97" s="5">
        <f>IF($K97="","",IFERROR(INDEX('DM_DanToc'!$B$2:$B$78,AGGREGATE(15,6,ROW('DM_DanToc'!$B$2:$B$78)-ROW('DM_DanToc'!$B$2)+1/ISNUMBER(SEARCH(SUBSTITUTE(UPPER($K97)," ",""),'DM_DanToc'!$C$2:$C$78)),1)),"Không tìm thấy"))</f>
        <v/>
      </c>
      <c r="W97" s="5">
        <f>IF($Q97="","",IFERROR(INDEX('DM_TinhThanh'!$B$2:$B$35,AGGREGATE(15,6,ROW('DM_TinhThanh'!$B$2:$B$35)-ROW('DM_TinhThanh'!$B$2)+1/ISNUMBER(SEARCH(SUBSTITUTE(UPPER($Q97)," ",""),'DM_TinhThanh'!$C$2:$C$35)),1)),"Không tìm thấy"))</f>
        <v/>
      </c>
      <c r="Y97" s="5">
        <f>IF($R97="","",IFERROR(INDEX('DM_XaPhuong'!$B$2:$B$169,AGGREGATE(15,6,ROW('DM_XaPhuong'!$B$2:$B$169)-ROW('DM_XaPhuong'!$B$2)+1/ISNUMBER(SEARCH(SUBSTITUTE(UPPER($R97)," ",""),'DM_XaPhuong'!$C$2:$C$169)),1)),"Không tìm thấy"))</f>
        <v/>
      </c>
      <c r="AB97" s="5">
        <f>IF($T97="","",IFERROR(INDEX('DM_NgheNghiep'!$B$2:$B$11,AGGREGATE(15,6,ROW('DM_NgheNghiep'!$B$2:$B$11)-ROW('DM_NgheNghiep'!$B$2)+1/ISNUMBER(SEARCH(SUBSTITUTE(UPPER($T97)," ",""),'DM_NgheNghiep'!$C$2:$C$11)),1)),"Không tìm thấy"))</f>
        <v/>
      </c>
      <c r="AD97" s="5">
        <f>IF($U97="","",IFERROR(INDEX('DM_NoiCongTac'!$B$2:$B$11,AGGREGATE(15,6,ROW('DM_NoiCongTac'!$B$2:$B$11)-ROW('DM_NoiCongTac'!$B$2)+1/ISNUMBER(SEARCH(SUBSTITUTE(UPPER($U97)," ",""),'DM_NoiCongTac'!$C$2:$C$11)),1)),"Không tìm thấy"))</f>
        <v/>
      </c>
      <c r="AF97" s="5">
        <f>IF($V97="","",IFERROR(INDEX('DM_XaPhuong'!$B$2:$B$169,AGGREGATE(15,6,ROW('DM_XaPhuong'!$B$2:$B$169)-ROW('DM_XaPhuong'!$B$2)+1/ISNUMBER(SEARCH(SUBSTITUTE(UPPER($V97)," ",""),'DM_XaPhuong'!$C$2:$C$169)),1)),"Không tìm thấy"))</f>
        <v/>
      </c>
    </row>
    <row r="98">
      <c r="C98" s="5">
        <f>IF($B98="","",IFERROR(INDEX('DM_DoiTuong'!$B$2:$B$19,AGGREGATE(15,6,ROW('DM_DoiTuong'!$B$2:$B$19)-ROW('DM_DoiTuong'!$B$2)+1/ISNUMBER(SEARCH(SUBSTITUTE(UPPER($B98)," ",""),'DM_DoiTuong'!$C$2:$C$19)),1)),"Không tìm thấy"))</f>
        <v/>
      </c>
      <c r="E98" s="5">
        <f>IF($C98="","",IFERROR(INDEX('DM_DiaDiemKham'!$B$2:$B$6,AGGREGATE(15,6,ROW('DM_DiaDiemKham'!$B$2:$B$6)-ROW('DM_DiaDiemKham'!$B$2)+1/ISNUMBER(SEARCH(SUBSTITUTE(UPPER($C98)," ",""),'DM_DiaDiemKham'!$C$2:$C$6)),1)),"Không tìm thấy"))</f>
        <v/>
      </c>
      <c r="G98" s="5">
        <f>IF($D98="","",IFERROR(INDEX('DM_HinhThucChiTra'!$B$2:$B$5,AGGREGATE(15,6,ROW('DM_HinhThucChiTra'!$B$2:$B$5)-ROW('DM_HinhThucChiTra'!$B$2)+1/ISNUMBER(SEARCH(SUBSTITUTE(UPPER($D98)," ",""),'DM_HinhThucChiTra'!$C$2:$C$5)),1)),"Không tìm thấy"))</f>
        <v/>
      </c>
      <c r="I98" s="5">
        <f>IF($E98="","",IFERROR(INDEX('DM_HinhThucKham'!$B$2:$B$3,AGGREGATE(15,6,ROW('DM_HinhThucKham'!$B$2:$B$3)-ROW('DM_HinhThucKham'!$B$2)+1/ISNUMBER(SEARCH(SUBSTITUTE(UPPER($E98)," ",""),'DM_HinhThucKham'!$C$2:$C$3)),1)),"Không tìm thấy"))</f>
        <v/>
      </c>
      <c r="P98" s="5">
        <f>IF($K98="","",IFERROR(INDEX('DM_DanToc'!$B$2:$B$78,AGGREGATE(15,6,ROW('DM_DanToc'!$B$2:$B$78)-ROW('DM_DanToc'!$B$2)+1/ISNUMBER(SEARCH(SUBSTITUTE(UPPER($K98)," ",""),'DM_DanToc'!$C$2:$C$78)),1)),"Không tìm thấy"))</f>
        <v/>
      </c>
      <c r="W98" s="5">
        <f>IF($Q98="","",IFERROR(INDEX('DM_TinhThanh'!$B$2:$B$35,AGGREGATE(15,6,ROW('DM_TinhThanh'!$B$2:$B$35)-ROW('DM_TinhThanh'!$B$2)+1/ISNUMBER(SEARCH(SUBSTITUTE(UPPER($Q98)," ",""),'DM_TinhThanh'!$C$2:$C$35)),1)),"Không tìm thấy"))</f>
        <v/>
      </c>
      <c r="Y98" s="5">
        <f>IF($R98="","",IFERROR(INDEX('DM_XaPhuong'!$B$2:$B$169,AGGREGATE(15,6,ROW('DM_XaPhuong'!$B$2:$B$169)-ROW('DM_XaPhuong'!$B$2)+1/ISNUMBER(SEARCH(SUBSTITUTE(UPPER($R98)," ",""),'DM_XaPhuong'!$C$2:$C$169)),1)),"Không tìm thấy"))</f>
        <v/>
      </c>
      <c r="AB98" s="5">
        <f>IF($T98="","",IFERROR(INDEX('DM_NgheNghiep'!$B$2:$B$11,AGGREGATE(15,6,ROW('DM_NgheNghiep'!$B$2:$B$11)-ROW('DM_NgheNghiep'!$B$2)+1/ISNUMBER(SEARCH(SUBSTITUTE(UPPER($T98)," ",""),'DM_NgheNghiep'!$C$2:$C$11)),1)),"Không tìm thấy"))</f>
        <v/>
      </c>
      <c r="AD98" s="5">
        <f>IF($U98="","",IFERROR(INDEX('DM_NoiCongTac'!$B$2:$B$11,AGGREGATE(15,6,ROW('DM_NoiCongTac'!$B$2:$B$11)-ROW('DM_NoiCongTac'!$B$2)+1/ISNUMBER(SEARCH(SUBSTITUTE(UPPER($U98)," ",""),'DM_NoiCongTac'!$C$2:$C$11)),1)),"Không tìm thấy"))</f>
        <v/>
      </c>
      <c r="AF98" s="5">
        <f>IF($V98="","",IFERROR(INDEX('DM_XaPhuong'!$B$2:$B$169,AGGREGATE(15,6,ROW('DM_XaPhuong'!$B$2:$B$169)-ROW('DM_XaPhuong'!$B$2)+1/ISNUMBER(SEARCH(SUBSTITUTE(UPPER($V98)," ",""),'DM_XaPhuong'!$C$2:$C$169)),1)),"Không tìm thấy"))</f>
        <v/>
      </c>
    </row>
    <row r="99">
      <c r="C99" s="5">
        <f>IF($B99="","",IFERROR(INDEX('DM_DoiTuong'!$B$2:$B$19,AGGREGATE(15,6,ROW('DM_DoiTuong'!$B$2:$B$19)-ROW('DM_DoiTuong'!$B$2)+1/ISNUMBER(SEARCH(SUBSTITUTE(UPPER($B99)," ",""),'DM_DoiTuong'!$C$2:$C$19)),1)),"Không tìm thấy"))</f>
        <v/>
      </c>
      <c r="E99" s="5">
        <f>IF($C99="","",IFERROR(INDEX('DM_DiaDiemKham'!$B$2:$B$6,AGGREGATE(15,6,ROW('DM_DiaDiemKham'!$B$2:$B$6)-ROW('DM_DiaDiemKham'!$B$2)+1/ISNUMBER(SEARCH(SUBSTITUTE(UPPER($C99)," ",""),'DM_DiaDiemKham'!$C$2:$C$6)),1)),"Không tìm thấy"))</f>
        <v/>
      </c>
      <c r="G99" s="5">
        <f>IF($D99="","",IFERROR(INDEX('DM_HinhThucChiTra'!$B$2:$B$5,AGGREGATE(15,6,ROW('DM_HinhThucChiTra'!$B$2:$B$5)-ROW('DM_HinhThucChiTra'!$B$2)+1/ISNUMBER(SEARCH(SUBSTITUTE(UPPER($D99)," ",""),'DM_HinhThucChiTra'!$C$2:$C$5)),1)),"Không tìm thấy"))</f>
        <v/>
      </c>
      <c r="I99" s="5">
        <f>IF($E99="","",IFERROR(INDEX('DM_HinhThucKham'!$B$2:$B$3,AGGREGATE(15,6,ROW('DM_HinhThucKham'!$B$2:$B$3)-ROW('DM_HinhThucKham'!$B$2)+1/ISNUMBER(SEARCH(SUBSTITUTE(UPPER($E99)," ",""),'DM_HinhThucKham'!$C$2:$C$3)),1)),"Không tìm thấy"))</f>
        <v/>
      </c>
      <c r="P99" s="5">
        <f>IF($K99="","",IFERROR(INDEX('DM_DanToc'!$B$2:$B$78,AGGREGATE(15,6,ROW('DM_DanToc'!$B$2:$B$78)-ROW('DM_DanToc'!$B$2)+1/ISNUMBER(SEARCH(SUBSTITUTE(UPPER($K99)," ",""),'DM_DanToc'!$C$2:$C$78)),1)),"Không tìm thấy"))</f>
        <v/>
      </c>
      <c r="W99" s="5">
        <f>IF($Q99="","",IFERROR(INDEX('DM_TinhThanh'!$B$2:$B$35,AGGREGATE(15,6,ROW('DM_TinhThanh'!$B$2:$B$35)-ROW('DM_TinhThanh'!$B$2)+1/ISNUMBER(SEARCH(SUBSTITUTE(UPPER($Q99)," ",""),'DM_TinhThanh'!$C$2:$C$35)),1)),"Không tìm thấy"))</f>
        <v/>
      </c>
      <c r="Y99" s="5">
        <f>IF($R99="","",IFERROR(INDEX('DM_XaPhuong'!$B$2:$B$169,AGGREGATE(15,6,ROW('DM_XaPhuong'!$B$2:$B$169)-ROW('DM_XaPhuong'!$B$2)+1/ISNUMBER(SEARCH(SUBSTITUTE(UPPER($R99)," ",""),'DM_XaPhuong'!$C$2:$C$169)),1)),"Không tìm thấy"))</f>
        <v/>
      </c>
      <c r="AB99" s="5">
        <f>IF($T99="","",IFERROR(INDEX('DM_NgheNghiep'!$B$2:$B$11,AGGREGATE(15,6,ROW('DM_NgheNghiep'!$B$2:$B$11)-ROW('DM_NgheNghiep'!$B$2)+1/ISNUMBER(SEARCH(SUBSTITUTE(UPPER($T99)," ",""),'DM_NgheNghiep'!$C$2:$C$11)),1)),"Không tìm thấy"))</f>
        <v/>
      </c>
      <c r="AD99" s="5">
        <f>IF($U99="","",IFERROR(INDEX('DM_NoiCongTac'!$B$2:$B$11,AGGREGATE(15,6,ROW('DM_NoiCongTac'!$B$2:$B$11)-ROW('DM_NoiCongTac'!$B$2)+1/ISNUMBER(SEARCH(SUBSTITUTE(UPPER($U99)," ",""),'DM_NoiCongTac'!$C$2:$C$11)),1)),"Không tìm thấy"))</f>
        <v/>
      </c>
      <c r="AF99" s="5">
        <f>IF($V99="","",IFERROR(INDEX('DM_XaPhuong'!$B$2:$B$169,AGGREGATE(15,6,ROW('DM_XaPhuong'!$B$2:$B$169)-ROW('DM_XaPhuong'!$B$2)+1/ISNUMBER(SEARCH(SUBSTITUTE(UPPER($V99)," ",""),'DM_XaPhuong'!$C$2:$C$169)),1)),"Không tìm thấy"))</f>
        <v/>
      </c>
    </row>
    <row r="100">
      <c r="C100" s="5">
        <f>IF($B100="","",IFERROR(INDEX('DM_DoiTuong'!$B$2:$B$19,AGGREGATE(15,6,ROW('DM_DoiTuong'!$B$2:$B$19)-ROW('DM_DoiTuong'!$B$2)+1/ISNUMBER(SEARCH(SUBSTITUTE(UPPER($B100)," ",""),'DM_DoiTuong'!$C$2:$C$19)),1)),"Không tìm thấy"))</f>
        <v/>
      </c>
      <c r="E100" s="5">
        <f>IF($C100="","",IFERROR(INDEX('DM_DiaDiemKham'!$B$2:$B$6,AGGREGATE(15,6,ROW('DM_DiaDiemKham'!$B$2:$B$6)-ROW('DM_DiaDiemKham'!$B$2)+1/ISNUMBER(SEARCH(SUBSTITUTE(UPPER($C100)," ",""),'DM_DiaDiemKham'!$C$2:$C$6)),1)),"Không tìm thấy"))</f>
        <v/>
      </c>
      <c r="G100" s="5">
        <f>IF($D100="","",IFERROR(INDEX('DM_HinhThucChiTra'!$B$2:$B$5,AGGREGATE(15,6,ROW('DM_HinhThucChiTra'!$B$2:$B$5)-ROW('DM_HinhThucChiTra'!$B$2)+1/ISNUMBER(SEARCH(SUBSTITUTE(UPPER($D100)," ",""),'DM_HinhThucChiTra'!$C$2:$C$5)),1)),"Không tìm thấy"))</f>
        <v/>
      </c>
      <c r="I100" s="5">
        <f>IF($E100="","",IFERROR(INDEX('DM_HinhThucKham'!$B$2:$B$3,AGGREGATE(15,6,ROW('DM_HinhThucKham'!$B$2:$B$3)-ROW('DM_HinhThucKham'!$B$2)+1/ISNUMBER(SEARCH(SUBSTITUTE(UPPER($E100)," ",""),'DM_HinhThucKham'!$C$2:$C$3)),1)),"Không tìm thấy"))</f>
        <v/>
      </c>
      <c r="P100" s="5">
        <f>IF($K100="","",IFERROR(INDEX('DM_DanToc'!$B$2:$B$78,AGGREGATE(15,6,ROW('DM_DanToc'!$B$2:$B$78)-ROW('DM_DanToc'!$B$2)+1/ISNUMBER(SEARCH(SUBSTITUTE(UPPER($K100)," ",""),'DM_DanToc'!$C$2:$C$78)),1)),"Không tìm thấy"))</f>
        <v/>
      </c>
      <c r="W100" s="5">
        <f>IF($Q100="","",IFERROR(INDEX('DM_TinhThanh'!$B$2:$B$35,AGGREGATE(15,6,ROW('DM_TinhThanh'!$B$2:$B$35)-ROW('DM_TinhThanh'!$B$2)+1/ISNUMBER(SEARCH(SUBSTITUTE(UPPER($Q100)," ",""),'DM_TinhThanh'!$C$2:$C$35)),1)),"Không tìm thấy"))</f>
        <v/>
      </c>
      <c r="Y100" s="5">
        <f>IF($R100="","",IFERROR(INDEX('DM_XaPhuong'!$B$2:$B$169,AGGREGATE(15,6,ROW('DM_XaPhuong'!$B$2:$B$169)-ROW('DM_XaPhuong'!$B$2)+1/ISNUMBER(SEARCH(SUBSTITUTE(UPPER($R100)," ",""),'DM_XaPhuong'!$C$2:$C$169)),1)),"Không tìm thấy"))</f>
        <v/>
      </c>
      <c r="AB100" s="5">
        <f>IF($T100="","",IFERROR(INDEX('DM_NgheNghiep'!$B$2:$B$11,AGGREGATE(15,6,ROW('DM_NgheNghiep'!$B$2:$B$11)-ROW('DM_NgheNghiep'!$B$2)+1/ISNUMBER(SEARCH(SUBSTITUTE(UPPER($T100)," ",""),'DM_NgheNghiep'!$C$2:$C$11)),1)),"Không tìm thấy"))</f>
        <v/>
      </c>
      <c r="AD100" s="5">
        <f>IF($U100="","",IFERROR(INDEX('DM_NoiCongTac'!$B$2:$B$11,AGGREGATE(15,6,ROW('DM_NoiCongTac'!$B$2:$B$11)-ROW('DM_NoiCongTac'!$B$2)+1/ISNUMBER(SEARCH(SUBSTITUTE(UPPER($U100)," ",""),'DM_NoiCongTac'!$C$2:$C$11)),1)),"Không tìm thấy"))</f>
        <v/>
      </c>
      <c r="AF100" s="5">
        <f>IF($V100="","",IFERROR(INDEX('DM_XaPhuong'!$B$2:$B$169,AGGREGATE(15,6,ROW('DM_XaPhuong'!$B$2:$B$169)-ROW('DM_XaPhuong'!$B$2)+1/ISNUMBER(SEARCH(SUBSTITUTE(UPPER($V100)," ",""),'DM_XaPhuong'!$C$2:$C$169)),1)),"Không tìm thấy"))</f>
        <v/>
      </c>
    </row>
    <row r="101">
      <c r="C101" s="5">
        <f>IF($B101="","",IFERROR(INDEX('DM_DoiTuong'!$B$2:$B$19,AGGREGATE(15,6,ROW('DM_DoiTuong'!$B$2:$B$19)-ROW('DM_DoiTuong'!$B$2)+1/ISNUMBER(SEARCH(SUBSTITUTE(UPPER($B101)," ",""),'DM_DoiTuong'!$C$2:$C$19)),1)),"Không tìm thấy"))</f>
        <v/>
      </c>
      <c r="E101" s="5">
        <f>IF($C101="","",IFERROR(INDEX('DM_DiaDiemKham'!$B$2:$B$6,AGGREGATE(15,6,ROW('DM_DiaDiemKham'!$B$2:$B$6)-ROW('DM_DiaDiemKham'!$B$2)+1/ISNUMBER(SEARCH(SUBSTITUTE(UPPER($C101)," ",""),'DM_DiaDiemKham'!$C$2:$C$6)),1)),"Không tìm thấy"))</f>
        <v/>
      </c>
      <c r="G101" s="5">
        <f>IF($D101="","",IFERROR(INDEX('DM_HinhThucChiTra'!$B$2:$B$5,AGGREGATE(15,6,ROW('DM_HinhThucChiTra'!$B$2:$B$5)-ROW('DM_HinhThucChiTra'!$B$2)+1/ISNUMBER(SEARCH(SUBSTITUTE(UPPER($D101)," ",""),'DM_HinhThucChiTra'!$C$2:$C$5)),1)),"Không tìm thấy"))</f>
        <v/>
      </c>
      <c r="I101" s="5">
        <f>IF($E101="","",IFERROR(INDEX('DM_HinhThucKham'!$B$2:$B$3,AGGREGATE(15,6,ROW('DM_HinhThucKham'!$B$2:$B$3)-ROW('DM_HinhThucKham'!$B$2)+1/ISNUMBER(SEARCH(SUBSTITUTE(UPPER($E101)," ",""),'DM_HinhThucKham'!$C$2:$C$3)),1)),"Không tìm thấy"))</f>
        <v/>
      </c>
      <c r="P101" s="5">
        <f>IF($K101="","",IFERROR(INDEX('DM_DanToc'!$B$2:$B$78,AGGREGATE(15,6,ROW('DM_DanToc'!$B$2:$B$78)-ROW('DM_DanToc'!$B$2)+1/ISNUMBER(SEARCH(SUBSTITUTE(UPPER($K101)," ",""),'DM_DanToc'!$C$2:$C$78)),1)),"Không tìm thấy"))</f>
        <v/>
      </c>
      <c r="W101" s="5">
        <f>IF($Q101="","",IFERROR(INDEX('DM_TinhThanh'!$B$2:$B$35,AGGREGATE(15,6,ROW('DM_TinhThanh'!$B$2:$B$35)-ROW('DM_TinhThanh'!$B$2)+1/ISNUMBER(SEARCH(SUBSTITUTE(UPPER($Q101)," ",""),'DM_TinhThanh'!$C$2:$C$35)),1)),"Không tìm thấy"))</f>
        <v/>
      </c>
      <c r="Y101" s="5">
        <f>IF($R101="","",IFERROR(INDEX('DM_XaPhuong'!$B$2:$B$169,AGGREGATE(15,6,ROW('DM_XaPhuong'!$B$2:$B$169)-ROW('DM_XaPhuong'!$B$2)+1/ISNUMBER(SEARCH(SUBSTITUTE(UPPER($R101)," ",""),'DM_XaPhuong'!$C$2:$C$169)),1)),"Không tìm thấy"))</f>
        <v/>
      </c>
      <c r="AB101" s="5">
        <f>IF($T101="","",IFERROR(INDEX('DM_NgheNghiep'!$B$2:$B$11,AGGREGATE(15,6,ROW('DM_NgheNghiep'!$B$2:$B$11)-ROW('DM_NgheNghiep'!$B$2)+1/ISNUMBER(SEARCH(SUBSTITUTE(UPPER($T101)," ",""),'DM_NgheNghiep'!$C$2:$C$11)),1)),"Không tìm thấy"))</f>
        <v/>
      </c>
      <c r="AD101" s="5">
        <f>IF($U101="","",IFERROR(INDEX('DM_NoiCongTac'!$B$2:$B$11,AGGREGATE(15,6,ROW('DM_NoiCongTac'!$B$2:$B$11)-ROW('DM_NoiCongTac'!$B$2)+1/ISNUMBER(SEARCH(SUBSTITUTE(UPPER($U101)," ",""),'DM_NoiCongTac'!$C$2:$C$11)),1)),"Không tìm thấy"))</f>
        <v/>
      </c>
      <c r="AF101" s="5">
        <f>IF($V101="","",IFERROR(INDEX('DM_XaPhuong'!$B$2:$B$169,AGGREGATE(15,6,ROW('DM_XaPhuong'!$B$2:$B$169)-ROW('DM_XaPhuong'!$B$2)+1/ISNUMBER(SEARCH(SUBSTITUTE(UPPER($V101)," ",""),'DM_XaPhuong'!$C$2:$C$169)),1)),"Không tìm thấy"))</f>
        <v/>
      </c>
    </row>
    <row r="102">
      <c r="C102" s="5">
        <f>IF($B102="","",IFERROR(INDEX('DM_DoiTuong'!$B$2:$B$19,AGGREGATE(15,6,ROW('DM_DoiTuong'!$B$2:$B$19)-ROW('DM_DoiTuong'!$B$2)+1/ISNUMBER(SEARCH(SUBSTITUTE(UPPER($B102)," ",""),'DM_DoiTuong'!$C$2:$C$19)),1)),"Không tìm thấy"))</f>
        <v/>
      </c>
      <c r="E102" s="5">
        <f>IF($C102="","",IFERROR(INDEX('DM_DiaDiemKham'!$B$2:$B$6,AGGREGATE(15,6,ROW('DM_DiaDiemKham'!$B$2:$B$6)-ROW('DM_DiaDiemKham'!$B$2)+1/ISNUMBER(SEARCH(SUBSTITUTE(UPPER($C102)," ",""),'DM_DiaDiemKham'!$C$2:$C$6)),1)),"Không tìm thấy"))</f>
        <v/>
      </c>
      <c r="G102" s="5">
        <f>IF($D102="","",IFERROR(INDEX('DM_HinhThucChiTra'!$B$2:$B$5,AGGREGATE(15,6,ROW('DM_HinhThucChiTra'!$B$2:$B$5)-ROW('DM_HinhThucChiTra'!$B$2)+1/ISNUMBER(SEARCH(SUBSTITUTE(UPPER($D102)," ",""),'DM_HinhThucChiTra'!$C$2:$C$5)),1)),"Không tìm thấy"))</f>
        <v/>
      </c>
      <c r="I102" s="5">
        <f>IF($E102="","",IFERROR(INDEX('DM_HinhThucKham'!$B$2:$B$3,AGGREGATE(15,6,ROW('DM_HinhThucKham'!$B$2:$B$3)-ROW('DM_HinhThucKham'!$B$2)+1/ISNUMBER(SEARCH(SUBSTITUTE(UPPER($E102)," ",""),'DM_HinhThucKham'!$C$2:$C$3)),1)),"Không tìm thấy"))</f>
        <v/>
      </c>
      <c r="P102" s="5">
        <f>IF($K102="","",IFERROR(INDEX('DM_DanToc'!$B$2:$B$78,AGGREGATE(15,6,ROW('DM_DanToc'!$B$2:$B$78)-ROW('DM_DanToc'!$B$2)+1/ISNUMBER(SEARCH(SUBSTITUTE(UPPER($K102)," ",""),'DM_DanToc'!$C$2:$C$78)),1)),"Không tìm thấy"))</f>
        <v/>
      </c>
      <c r="W102" s="5">
        <f>IF($Q102="","",IFERROR(INDEX('DM_TinhThanh'!$B$2:$B$35,AGGREGATE(15,6,ROW('DM_TinhThanh'!$B$2:$B$35)-ROW('DM_TinhThanh'!$B$2)+1/ISNUMBER(SEARCH(SUBSTITUTE(UPPER($Q102)," ",""),'DM_TinhThanh'!$C$2:$C$35)),1)),"Không tìm thấy"))</f>
        <v/>
      </c>
      <c r="Y102" s="5">
        <f>IF($R102="","",IFERROR(INDEX('DM_XaPhuong'!$B$2:$B$169,AGGREGATE(15,6,ROW('DM_XaPhuong'!$B$2:$B$169)-ROW('DM_XaPhuong'!$B$2)+1/ISNUMBER(SEARCH(SUBSTITUTE(UPPER($R102)," ",""),'DM_XaPhuong'!$C$2:$C$169)),1)),"Không tìm thấy"))</f>
        <v/>
      </c>
      <c r="AB102" s="5">
        <f>IF($T102="","",IFERROR(INDEX('DM_NgheNghiep'!$B$2:$B$11,AGGREGATE(15,6,ROW('DM_NgheNghiep'!$B$2:$B$11)-ROW('DM_NgheNghiep'!$B$2)+1/ISNUMBER(SEARCH(SUBSTITUTE(UPPER($T102)," ",""),'DM_NgheNghiep'!$C$2:$C$11)),1)),"Không tìm thấy"))</f>
        <v/>
      </c>
      <c r="AD102" s="5">
        <f>IF($U102="","",IFERROR(INDEX('DM_NoiCongTac'!$B$2:$B$11,AGGREGATE(15,6,ROW('DM_NoiCongTac'!$B$2:$B$11)-ROW('DM_NoiCongTac'!$B$2)+1/ISNUMBER(SEARCH(SUBSTITUTE(UPPER($U102)," ",""),'DM_NoiCongTac'!$C$2:$C$11)),1)),"Không tìm thấy"))</f>
        <v/>
      </c>
      <c r="AF102" s="5">
        <f>IF($V102="","",IFERROR(INDEX('DM_XaPhuong'!$B$2:$B$169,AGGREGATE(15,6,ROW('DM_XaPhuong'!$B$2:$B$169)-ROW('DM_XaPhuong'!$B$2)+1/ISNUMBER(SEARCH(SUBSTITUTE(UPPER($V102)," ",""),'DM_XaPhuong'!$C$2:$C$169)),1)),"Không tìm thấy"))</f>
        <v/>
      </c>
    </row>
    <row r="103">
      <c r="C103" s="5">
        <f>IF($B103="","",IFERROR(INDEX('DM_DoiTuong'!$B$2:$B$19,AGGREGATE(15,6,ROW('DM_DoiTuong'!$B$2:$B$19)-ROW('DM_DoiTuong'!$B$2)+1/ISNUMBER(SEARCH(SUBSTITUTE(UPPER($B103)," ",""),'DM_DoiTuong'!$C$2:$C$19)),1)),"Không tìm thấy"))</f>
        <v/>
      </c>
      <c r="E103" s="5">
        <f>IF($C103="","",IFERROR(INDEX('DM_DiaDiemKham'!$B$2:$B$6,AGGREGATE(15,6,ROW('DM_DiaDiemKham'!$B$2:$B$6)-ROW('DM_DiaDiemKham'!$B$2)+1/ISNUMBER(SEARCH(SUBSTITUTE(UPPER($C103)," ",""),'DM_DiaDiemKham'!$C$2:$C$6)),1)),"Không tìm thấy"))</f>
        <v/>
      </c>
      <c r="G103" s="5">
        <f>IF($D103="","",IFERROR(INDEX('DM_HinhThucChiTra'!$B$2:$B$5,AGGREGATE(15,6,ROW('DM_HinhThucChiTra'!$B$2:$B$5)-ROW('DM_HinhThucChiTra'!$B$2)+1/ISNUMBER(SEARCH(SUBSTITUTE(UPPER($D103)," ",""),'DM_HinhThucChiTra'!$C$2:$C$5)),1)),"Không tìm thấy"))</f>
        <v/>
      </c>
      <c r="I103" s="5">
        <f>IF($E103="","",IFERROR(INDEX('DM_HinhThucKham'!$B$2:$B$3,AGGREGATE(15,6,ROW('DM_HinhThucKham'!$B$2:$B$3)-ROW('DM_HinhThucKham'!$B$2)+1/ISNUMBER(SEARCH(SUBSTITUTE(UPPER($E103)," ",""),'DM_HinhThucKham'!$C$2:$C$3)),1)),"Không tìm thấy"))</f>
        <v/>
      </c>
      <c r="P103" s="5">
        <f>IF($K103="","",IFERROR(INDEX('DM_DanToc'!$B$2:$B$78,AGGREGATE(15,6,ROW('DM_DanToc'!$B$2:$B$78)-ROW('DM_DanToc'!$B$2)+1/ISNUMBER(SEARCH(SUBSTITUTE(UPPER($K103)," ",""),'DM_DanToc'!$C$2:$C$78)),1)),"Không tìm thấy"))</f>
        <v/>
      </c>
      <c r="W103" s="5">
        <f>IF($Q103="","",IFERROR(INDEX('DM_TinhThanh'!$B$2:$B$35,AGGREGATE(15,6,ROW('DM_TinhThanh'!$B$2:$B$35)-ROW('DM_TinhThanh'!$B$2)+1/ISNUMBER(SEARCH(SUBSTITUTE(UPPER($Q103)," ",""),'DM_TinhThanh'!$C$2:$C$35)),1)),"Không tìm thấy"))</f>
        <v/>
      </c>
      <c r="Y103" s="5">
        <f>IF($R103="","",IFERROR(INDEX('DM_XaPhuong'!$B$2:$B$169,AGGREGATE(15,6,ROW('DM_XaPhuong'!$B$2:$B$169)-ROW('DM_XaPhuong'!$B$2)+1/ISNUMBER(SEARCH(SUBSTITUTE(UPPER($R103)," ",""),'DM_XaPhuong'!$C$2:$C$169)),1)),"Không tìm thấy"))</f>
        <v/>
      </c>
      <c r="AB103" s="5">
        <f>IF($T103="","",IFERROR(INDEX('DM_NgheNghiep'!$B$2:$B$11,AGGREGATE(15,6,ROW('DM_NgheNghiep'!$B$2:$B$11)-ROW('DM_NgheNghiep'!$B$2)+1/ISNUMBER(SEARCH(SUBSTITUTE(UPPER($T103)," ",""),'DM_NgheNghiep'!$C$2:$C$11)),1)),"Không tìm thấy"))</f>
        <v/>
      </c>
      <c r="AD103" s="5">
        <f>IF($U103="","",IFERROR(INDEX('DM_NoiCongTac'!$B$2:$B$11,AGGREGATE(15,6,ROW('DM_NoiCongTac'!$B$2:$B$11)-ROW('DM_NoiCongTac'!$B$2)+1/ISNUMBER(SEARCH(SUBSTITUTE(UPPER($U103)," ",""),'DM_NoiCongTac'!$C$2:$C$11)),1)),"Không tìm thấy"))</f>
        <v/>
      </c>
      <c r="AF103" s="5">
        <f>IF($V103="","",IFERROR(INDEX('DM_XaPhuong'!$B$2:$B$169,AGGREGATE(15,6,ROW('DM_XaPhuong'!$B$2:$B$169)-ROW('DM_XaPhuong'!$B$2)+1/ISNUMBER(SEARCH(SUBSTITUTE(UPPER($V103)," ",""),'DM_XaPhuong'!$C$2:$C$169)),1)),"Không tìm thấy"))</f>
        <v/>
      </c>
    </row>
    <row r="104">
      <c r="C104" s="5">
        <f>IF($B104="","",IFERROR(INDEX('DM_DoiTuong'!$B$2:$B$19,AGGREGATE(15,6,ROW('DM_DoiTuong'!$B$2:$B$19)-ROW('DM_DoiTuong'!$B$2)+1/ISNUMBER(SEARCH(SUBSTITUTE(UPPER($B104)," ",""),'DM_DoiTuong'!$C$2:$C$19)),1)),"Không tìm thấy"))</f>
        <v/>
      </c>
      <c r="E104" s="5">
        <f>IF($C104="","",IFERROR(INDEX('DM_DiaDiemKham'!$B$2:$B$6,AGGREGATE(15,6,ROW('DM_DiaDiemKham'!$B$2:$B$6)-ROW('DM_DiaDiemKham'!$B$2)+1/ISNUMBER(SEARCH(SUBSTITUTE(UPPER($C104)," ",""),'DM_DiaDiemKham'!$C$2:$C$6)),1)),"Không tìm thấy"))</f>
        <v/>
      </c>
      <c r="G104" s="5">
        <f>IF($D104="","",IFERROR(INDEX('DM_HinhThucChiTra'!$B$2:$B$5,AGGREGATE(15,6,ROW('DM_HinhThucChiTra'!$B$2:$B$5)-ROW('DM_HinhThucChiTra'!$B$2)+1/ISNUMBER(SEARCH(SUBSTITUTE(UPPER($D104)," ",""),'DM_HinhThucChiTra'!$C$2:$C$5)),1)),"Không tìm thấy"))</f>
        <v/>
      </c>
      <c r="I104" s="5">
        <f>IF($E104="","",IFERROR(INDEX('DM_HinhThucKham'!$B$2:$B$3,AGGREGATE(15,6,ROW('DM_HinhThucKham'!$B$2:$B$3)-ROW('DM_HinhThucKham'!$B$2)+1/ISNUMBER(SEARCH(SUBSTITUTE(UPPER($E104)," ",""),'DM_HinhThucKham'!$C$2:$C$3)),1)),"Không tìm thấy"))</f>
        <v/>
      </c>
      <c r="P104" s="5">
        <f>IF($K104="","",IFERROR(INDEX('DM_DanToc'!$B$2:$B$78,AGGREGATE(15,6,ROW('DM_DanToc'!$B$2:$B$78)-ROW('DM_DanToc'!$B$2)+1/ISNUMBER(SEARCH(SUBSTITUTE(UPPER($K104)," ",""),'DM_DanToc'!$C$2:$C$78)),1)),"Không tìm thấy"))</f>
        <v/>
      </c>
      <c r="W104" s="5">
        <f>IF($Q104="","",IFERROR(INDEX('DM_TinhThanh'!$B$2:$B$35,AGGREGATE(15,6,ROW('DM_TinhThanh'!$B$2:$B$35)-ROW('DM_TinhThanh'!$B$2)+1/ISNUMBER(SEARCH(SUBSTITUTE(UPPER($Q104)," ",""),'DM_TinhThanh'!$C$2:$C$35)),1)),"Không tìm thấy"))</f>
        <v/>
      </c>
      <c r="Y104" s="5">
        <f>IF($R104="","",IFERROR(INDEX('DM_XaPhuong'!$B$2:$B$169,AGGREGATE(15,6,ROW('DM_XaPhuong'!$B$2:$B$169)-ROW('DM_XaPhuong'!$B$2)+1/ISNUMBER(SEARCH(SUBSTITUTE(UPPER($R104)," ",""),'DM_XaPhuong'!$C$2:$C$169)),1)),"Không tìm thấy"))</f>
        <v/>
      </c>
      <c r="AB104" s="5">
        <f>IF($T104="","",IFERROR(INDEX('DM_NgheNghiep'!$B$2:$B$11,AGGREGATE(15,6,ROW('DM_NgheNghiep'!$B$2:$B$11)-ROW('DM_NgheNghiep'!$B$2)+1/ISNUMBER(SEARCH(SUBSTITUTE(UPPER($T104)," ",""),'DM_NgheNghiep'!$C$2:$C$11)),1)),"Không tìm thấy"))</f>
        <v/>
      </c>
      <c r="AD104" s="5">
        <f>IF($U104="","",IFERROR(INDEX('DM_NoiCongTac'!$B$2:$B$11,AGGREGATE(15,6,ROW('DM_NoiCongTac'!$B$2:$B$11)-ROW('DM_NoiCongTac'!$B$2)+1/ISNUMBER(SEARCH(SUBSTITUTE(UPPER($U104)," ",""),'DM_NoiCongTac'!$C$2:$C$11)),1)),"Không tìm thấy"))</f>
        <v/>
      </c>
      <c r="AF104" s="5">
        <f>IF($V104="","",IFERROR(INDEX('DM_XaPhuong'!$B$2:$B$169,AGGREGATE(15,6,ROW('DM_XaPhuong'!$B$2:$B$169)-ROW('DM_XaPhuong'!$B$2)+1/ISNUMBER(SEARCH(SUBSTITUTE(UPPER($V104)," ",""),'DM_XaPhuong'!$C$2:$C$169)),1)),"Không tìm thấy"))</f>
        <v/>
      </c>
    </row>
    <row r="105">
      <c r="C105" s="5">
        <f>IF($B105="","",IFERROR(INDEX('DM_DoiTuong'!$B$2:$B$19,AGGREGATE(15,6,ROW('DM_DoiTuong'!$B$2:$B$19)-ROW('DM_DoiTuong'!$B$2)+1/ISNUMBER(SEARCH(SUBSTITUTE(UPPER($B105)," ",""),'DM_DoiTuong'!$C$2:$C$19)),1)),"Không tìm thấy"))</f>
        <v/>
      </c>
      <c r="E105" s="5">
        <f>IF($C105="","",IFERROR(INDEX('DM_DiaDiemKham'!$B$2:$B$6,AGGREGATE(15,6,ROW('DM_DiaDiemKham'!$B$2:$B$6)-ROW('DM_DiaDiemKham'!$B$2)+1/ISNUMBER(SEARCH(SUBSTITUTE(UPPER($C105)," ",""),'DM_DiaDiemKham'!$C$2:$C$6)),1)),"Không tìm thấy"))</f>
        <v/>
      </c>
      <c r="G105" s="5">
        <f>IF($D105="","",IFERROR(INDEX('DM_HinhThucChiTra'!$B$2:$B$5,AGGREGATE(15,6,ROW('DM_HinhThucChiTra'!$B$2:$B$5)-ROW('DM_HinhThucChiTra'!$B$2)+1/ISNUMBER(SEARCH(SUBSTITUTE(UPPER($D105)," ",""),'DM_HinhThucChiTra'!$C$2:$C$5)),1)),"Không tìm thấy"))</f>
        <v/>
      </c>
      <c r="I105" s="5">
        <f>IF($E105="","",IFERROR(INDEX('DM_HinhThucKham'!$B$2:$B$3,AGGREGATE(15,6,ROW('DM_HinhThucKham'!$B$2:$B$3)-ROW('DM_HinhThucKham'!$B$2)+1/ISNUMBER(SEARCH(SUBSTITUTE(UPPER($E105)," ",""),'DM_HinhThucKham'!$C$2:$C$3)),1)),"Không tìm thấy"))</f>
        <v/>
      </c>
      <c r="P105" s="5">
        <f>IF($K105="","",IFERROR(INDEX('DM_DanToc'!$B$2:$B$78,AGGREGATE(15,6,ROW('DM_DanToc'!$B$2:$B$78)-ROW('DM_DanToc'!$B$2)+1/ISNUMBER(SEARCH(SUBSTITUTE(UPPER($K105)," ",""),'DM_DanToc'!$C$2:$C$78)),1)),"Không tìm thấy"))</f>
        <v/>
      </c>
      <c r="W105" s="5">
        <f>IF($Q105="","",IFERROR(INDEX('DM_TinhThanh'!$B$2:$B$35,AGGREGATE(15,6,ROW('DM_TinhThanh'!$B$2:$B$35)-ROW('DM_TinhThanh'!$B$2)+1/ISNUMBER(SEARCH(SUBSTITUTE(UPPER($Q105)," ",""),'DM_TinhThanh'!$C$2:$C$35)),1)),"Không tìm thấy"))</f>
        <v/>
      </c>
      <c r="Y105" s="5">
        <f>IF($R105="","",IFERROR(INDEX('DM_XaPhuong'!$B$2:$B$169,AGGREGATE(15,6,ROW('DM_XaPhuong'!$B$2:$B$169)-ROW('DM_XaPhuong'!$B$2)+1/ISNUMBER(SEARCH(SUBSTITUTE(UPPER($R105)," ",""),'DM_XaPhuong'!$C$2:$C$169)),1)),"Không tìm thấy"))</f>
        <v/>
      </c>
      <c r="AB105" s="5">
        <f>IF($T105="","",IFERROR(INDEX('DM_NgheNghiep'!$B$2:$B$11,AGGREGATE(15,6,ROW('DM_NgheNghiep'!$B$2:$B$11)-ROW('DM_NgheNghiep'!$B$2)+1/ISNUMBER(SEARCH(SUBSTITUTE(UPPER($T105)," ",""),'DM_NgheNghiep'!$C$2:$C$11)),1)),"Không tìm thấy"))</f>
        <v/>
      </c>
      <c r="AD105" s="5">
        <f>IF($U105="","",IFERROR(INDEX('DM_NoiCongTac'!$B$2:$B$11,AGGREGATE(15,6,ROW('DM_NoiCongTac'!$B$2:$B$11)-ROW('DM_NoiCongTac'!$B$2)+1/ISNUMBER(SEARCH(SUBSTITUTE(UPPER($U105)," ",""),'DM_NoiCongTac'!$C$2:$C$11)),1)),"Không tìm thấy"))</f>
        <v/>
      </c>
      <c r="AF105" s="5">
        <f>IF($V105="","",IFERROR(INDEX('DM_XaPhuong'!$B$2:$B$169,AGGREGATE(15,6,ROW('DM_XaPhuong'!$B$2:$B$169)-ROW('DM_XaPhuong'!$B$2)+1/ISNUMBER(SEARCH(SUBSTITUTE(UPPER($V105)," ",""),'DM_XaPhuong'!$C$2:$C$169)),1)),"Không tìm thấy"))</f>
        <v/>
      </c>
    </row>
    <row r="106">
      <c r="C106" s="5">
        <f>IF($B106="","",IFERROR(INDEX('DM_DoiTuong'!$B$2:$B$19,AGGREGATE(15,6,ROW('DM_DoiTuong'!$B$2:$B$19)-ROW('DM_DoiTuong'!$B$2)+1/ISNUMBER(SEARCH(SUBSTITUTE(UPPER($B106)," ",""),'DM_DoiTuong'!$C$2:$C$19)),1)),"Không tìm thấy"))</f>
        <v/>
      </c>
      <c r="E106" s="5">
        <f>IF($C106="","",IFERROR(INDEX('DM_DiaDiemKham'!$B$2:$B$6,AGGREGATE(15,6,ROW('DM_DiaDiemKham'!$B$2:$B$6)-ROW('DM_DiaDiemKham'!$B$2)+1/ISNUMBER(SEARCH(SUBSTITUTE(UPPER($C106)," ",""),'DM_DiaDiemKham'!$C$2:$C$6)),1)),"Không tìm thấy"))</f>
        <v/>
      </c>
      <c r="G106" s="5">
        <f>IF($D106="","",IFERROR(INDEX('DM_HinhThucChiTra'!$B$2:$B$5,AGGREGATE(15,6,ROW('DM_HinhThucChiTra'!$B$2:$B$5)-ROW('DM_HinhThucChiTra'!$B$2)+1/ISNUMBER(SEARCH(SUBSTITUTE(UPPER($D106)," ",""),'DM_HinhThucChiTra'!$C$2:$C$5)),1)),"Không tìm thấy"))</f>
        <v/>
      </c>
      <c r="I106" s="5">
        <f>IF($E106="","",IFERROR(INDEX('DM_HinhThucKham'!$B$2:$B$3,AGGREGATE(15,6,ROW('DM_HinhThucKham'!$B$2:$B$3)-ROW('DM_HinhThucKham'!$B$2)+1/ISNUMBER(SEARCH(SUBSTITUTE(UPPER($E106)," ",""),'DM_HinhThucKham'!$C$2:$C$3)),1)),"Không tìm thấy"))</f>
        <v/>
      </c>
      <c r="P106" s="5">
        <f>IF($K106="","",IFERROR(INDEX('DM_DanToc'!$B$2:$B$78,AGGREGATE(15,6,ROW('DM_DanToc'!$B$2:$B$78)-ROW('DM_DanToc'!$B$2)+1/ISNUMBER(SEARCH(SUBSTITUTE(UPPER($K106)," ",""),'DM_DanToc'!$C$2:$C$78)),1)),"Không tìm thấy"))</f>
        <v/>
      </c>
      <c r="W106" s="5">
        <f>IF($Q106="","",IFERROR(INDEX('DM_TinhThanh'!$B$2:$B$35,AGGREGATE(15,6,ROW('DM_TinhThanh'!$B$2:$B$35)-ROW('DM_TinhThanh'!$B$2)+1/ISNUMBER(SEARCH(SUBSTITUTE(UPPER($Q106)," ",""),'DM_TinhThanh'!$C$2:$C$35)),1)),"Không tìm thấy"))</f>
        <v/>
      </c>
      <c r="Y106" s="5">
        <f>IF($R106="","",IFERROR(INDEX('DM_XaPhuong'!$B$2:$B$169,AGGREGATE(15,6,ROW('DM_XaPhuong'!$B$2:$B$169)-ROW('DM_XaPhuong'!$B$2)+1/ISNUMBER(SEARCH(SUBSTITUTE(UPPER($R106)," ",""),'DM_XaPhuong'!$C$2:$C$169)),1)),"Không tìm thấy"))</f>
        <v/>
      </c>
      <c r="AB106" s="5">
        <f>IF($T106="","",IFERROR(INDEX('DM_NgheNghiep'!$B$2:$B$11,AGGREGATE(15,6,ROW('DM_NgheNghiep'!$B$2:$B$11)-ROW('DM_NgheNghiep'!$B$2)+1/ISNUMBER(SEARCH(SUBSTITUTE(UPPER($T106)," ",""),'DM_NgheNghiep'!$C$2:$C$11)),1)),"Không tìm thấy"))</f>
        <v/>
      </c>
      <c r="AD106" s="5">
        <f>IF($U106="","",IFERROR(INDEX('DM_NoiCongTac'!$B$2:$B$11,AGGREGATE(15,6,ROW('DM_NoiCongTac'!$B$2:$B$11)-ROW('DM_NoiCongTac'!$B$2)+1/ISNUMBER(SEARCH(SUBSTITUTE(UPPER($U106)," ",""),'DM_NoiCongTac'!$C$2:$C$11)),1)),"Không tìm thấy"))</f>
        <v/>
      </c>
      <c r="AF106" s="5">
        <f>IF($V106="","",IFERROR(INDEX('DM_XaPhuong'!$B$2:$B$169,AGGREGATE(15,6,ROW('DM_XaPhuong'!$B$2:$B$169)-ROW('DM_XaPhuong'!$B$2)+1/ISNUMBER(SEARCH(SUBSTITUTE(UPPER($V106)," ",""),'DM_XaPhuong'!$C$2:$C$169)),1)),"Không tìm thấy"))</f>
        <v/>
      </c>
    </row>
    <row r="107">
      <c r="C107" s="5">
        <f>IF($B107="","",IFERROR(INDEX('DM_DoiTuong'!$B$2:$B$19,AGGREGATE(15,6,ROW('DM_DoiTuong'!$B$2:$B$19)-ROW('DM_DoiTuong'!$B$2)+1/ISNUMBER(SEARCH(SUBSTITUTE(UPPER($B107)," ",""),'DM_DoiTuong'!$C$2:$C$19)),1)),"Không tìm thấy"))</f>
        <v/>
      </c>
      <c r="E107" s="5">
        <f>IF($C107="","",IFERROR(INDEX('DM_DiaDiemKham'!$B$2:$B$6,AGGREGATE(15,6,ROW('DM_DiaDiemKham'!$B$2:$B$6)-ROW('DM_DiaDiemKham'!$B$2)+1/ISNUMBER(SEARCH(SUBSTITUTE(UPPER($C107)," ",""),'DM_DiaDiemKham'!$C$2:$C$6)),1)),"Không tìm thấy"))</f>
        <v/>
      </c>
      <c r="G107" s="5">
        <f>IF($D107="","",IFERROR(INDEX('DM_HinhThucChiTra'!$B$2:$B$5,AGGREGATE(15,6,ROW('DM_HinhThucChiTra'!$B$2:$B$5)-ROW('DM_HinhThucChiTra'!$B$2)+1/ISNUMBER(SEARCH(SUBSTITUTE(UPPER($D107)," ",""),'DM_HinhThucChiTra'!$C$2:$C$5)),1)),"Không tìm thấy"))</f>
        <v/>
      </c>
      <c r="I107" s="5">
        <f>IF($E107="","",IFERROR(INDEX('DM_HinhThucKham'!$B$2:$B$3,AGGREGATE(15,6,ROW('DM_HinhThucKham'!$B$2:$B$3)-ROW('DM_HinhThucKham'!$B$2)+1/ISNUMBER(SEARCH(SUBSTITUTE(UPPER($E107)," ",""),'DM_HinhThucKham'!$C$2:$C$3)),1)),"Không tìm thấy"))</f>
        <v/>
      </c>
      <c r="P107" s="5">
        <f>IF($K107="","",IFERROR(INDEX('DM_DanToc'!$B$2:$B$78,AGGREGATE(15,6,ROW('DM_DanToc'!$B$2:$B$78)-ROW('DM_DanToc'!$B$2)+1/ISNUMBER(SEARCH(SUBSTITUTE(UPPER($K107)," ",""),'DM_DanToc'!$C$2:$C$78)),1)),"Không tìm thấy"))</f>
        <v/>
      </c>
      <c r="W107" s="5">
        <f>IF($Q107="","",IFERROR(INDEX('DM_TinhThanh'!$B$2:$B$35,AGGREGATE(15,6,ROW('DM_TinhThanh'!$B$2:$B$35)-ROW('DM_TinhThanh'!$B$2)+1/ISNUMBER(SEARCH(SUBSTITUTE(UPPER($Q107)," ",""),'DM_TinhThanh'!$C$2:$C$35)),1)),"Không tìm thấy"))</f>
        <v/>
      </c>
      <c r="Y107" s="5">
        <f>IF($R107="","",IFERROR(INDEX('DM_XaPhuong'!$B$2:$B$169,AGGREGATE(15,6,ROW('DM_XaPhuong'!$B$2:$B$169)-ROW('DM_XaPhuong'!$B$2)+1/ISNUMBER(SEARCH(SUBSTITUTE(UPPER($R107)," ",""),'DM_XaPhuong'!$C$2:$C$169)),1)),"Không tìm thấy"))</f>
        <v/>
      </c>
      <c r="AB107" s="5">
        <f>IF($T107="","",IFERROR(INDEX('DM_NgheNghiep'!$B$2:$B$11,AGGREGATE(15,6,ROW('DM_NgheNghiep'!$B$2:$B$11)-ROW('DM_NgheNghiep'!$B$2)+1/ISNUMBER(SEARCH(SUBSTITUTE(UPPER($T107)," ",""),'DM_NgheNghiep'!$C$2:$C$11)),1)),"Không tìm thấy"))</f>
        <v/>
      </c>
      <c r="AD107" s="5">
        <f>IF($U107="","",IFERROR(INDEX('DM_NoiCongTac'!$B$2:$B$11,AGGREGATE(15,6,ROW('DM_NoiCongTac'!$B$2:$B$11)-ROW('DM_NoiCongTac'!$B$2)+1/ISNUMBER(SEARCH(SUBSTITUTE(UPPER($U107)," ",""),'DM_NoiCongTac'!$C$2:$C$11)),1)),"Không tìm thấy"))</f>
        <v/>
      </c>
      <c r="AF107" s="5">
        <f>IF($V107="","",IFERROR(INDEX('DM_XaPhuong'!$B$2:$B$169,AGGREGATE(15,6,ROW('DM_XaPhuong'!$B$2:$B$169)-ROW('DM_XaPhuong'!$B$2)+1/ISNUMBER(SEARCH(SUBSTITUTE(UPPER($V107)," ",""),'DM_XaPhuong'!$C$2:$C$169)),1)),"Không tìm thấy"))</f>
        <v/>
      </c>
    </row>
    <row r="108">
      <c r="C108" s="5">
        <f>IF($B108="","",IFERROR(INDEX('DM_DoiTuong'!$B$2:$B$19,AGGREGATE(15,6,ROW('DM_DoiTuong'!$B$2:$B$19)-ROW('DM_DoiTuong'!$B$2)+1/ISNUMBER(SEARCH(SUBSTITUTE(UPPER($B108)," ",""),'DM_DoiTuong'!$C$2:$C$19)),1)),"Không tìm thấy"))</f>
        <v/>
      </c>
      <c r="E108" s="5">
        <f>IF($C108="","",IFERROR(INDEX('DM_DiaDiemKham'!$B$2:$B$6,AGGREGATE(15,6,ROW('DM_DiaDiemKham'!$B$2:$B$6)-ROW('DM_DiaDiemKham'!$B$2)+1/ISNUMBER(SEARCH(SUBSTITUTE(UPPER($C108)," ",""),'DM_DiaDiemKham'!$C$2:$C$6)),1)),"Không tìm thấy"))</f>
        <v/>
      </c>
      <c r="G108" s="5">
        <f>IF($D108="","",IFERROR(INDEX('DM_HinhThucChiTra'!$B$2:$B$5,AGGREGATE(15,6,ROW('DM_HinhThucChiTra'!$B$2:$B$5)-ROW('DM_HinhThucChiTra'!$B$2)+1/ISNUMBER(SEARCH(SUBSTITUTE(UPPER($D108)," ",""),'DM_HinhThucChiTra'!$C$2:$C$5)),1)),"Không tìm thấy"))</f>
        <v/>
      </c>
      <c r="I108" s="5">
        <f>IF($E108="","",IFERROR(INDEX('DM_HinhThucKham'!$B$2:$B$3,AGGREGATE(15,6,ROW('DM_HinhThucKham'!$B$2:$B$3)-ROW('DM_HinhThucKham'!$B$2)+1/ISNUMBER(SEARCH(SUBSTITUTE(UPPER($E108)," ",""),'DM_HinhThucKham'!$C$2:$C$3)),1)),"Không tìm thấy"))</f>
        <v/>
      </c>
      <c r="P108" s="5">
        <f>IF($K108="","",IFERROR(INDEX('DM_DanToc'!$B$2:$B$78,AGGREGATE(15,6,ROW('DM_DanToc'!$B$2:$B$78)-ROW('DM_DanToc'!$B$2)+1/ISNUMBER(SEARCH(SUBSTITUTE(UPPER($K108)," ",""),'DM_DanToc'!$C$2:$C$78)),1)),"Không tìm thấy"))</f>
        <v/>
      </c>
      <c r="W108" s="5">
        <f>IF($Q108="","",IFERROR(INDEX('DM_TinhThanh'!$B$2:$B$35,AGGREGATE(15,6,ROW('DM_TinhThanh'!$B$2:$B$35)-ROW('DM_TinhThanh'!$B$2)+1/ISNUMBER(SEARCH(SUBSTITUTE(UPPER($Q108)," ",""),'DM_TinhThanh'!$C$2:$C$35)),1)),"Không tìm thấy"))</f>
        <v/>
      </c>
      <c r="Y108" s="5">
        <f>IF($R108="","",IFERROR(INDEX('DM_XaPhuong'!$B$2:$B$169,AGGREGATE(15,6,ROW('DM_XaPhuong'!$B$2:$B$169)-ROW('DM_XaPhuong'!$B$2)+1/ISNUMBER(SEARCH(SUBSTITUTE(UPPER($R108)," ",""),'DM_XaPhuong'!$C$2:$C$169)),1)),"Không tìm thấy"))</f>
        <v/>
      </c>
      <c r="AB108" s="5">
        <f>IF($T108="","",IFERROR(INDEX('DM_NgheNghiep'!$B$2:$B$11,AGGREGATE(15,6,ROW('DM_NgheNghiep'!$B$2:$B$11)-ROW('DM_NgheNghiep'!$B$2)+1/ISNUMBER(SEARCH(SUBSTITUTE(UPPER($T108)," ",""),'DM_NgheNghiep'!$C$2:$C$11)),1)),"Không tìm thấy"))</f>
        <v/>
      </c>
      <c r="AD108" s="5">
        <f>IF($U108="","",IFERROR(INDEX('DM_NoiCongTac'!$B$2:$B$11,AGGREGATE(15,6,ROW('DM_NoiCongTac'!$B$2:$B$11)-ROW('DM_NoiCongTac'!$B$2)+1/ISNUMBER(SEARCH(SUBSTITUTE(UPPER($U108)," ",""),'DM_NoiCongTac'!$C$2:$C$11)),1)),"Không tìm thấy"))</f>
        <v/>
      </c>
      <c r="AF108" s="5">
        <f>IF($V108="","",IFERROR(INDEX('DM_XaPhuong'!$B$2:$B$169,AGGREGATE(15,6,ROW('DM_XaPhuong'!$B$2:$B$169)-ROW('DM_XaPhuong'!$B$2)+1/ISNUMBER(SEARCH(SUBSTITUTE(UPPER($V108)," ",""),'DM_XaPhuong'!$C$2:$C$169)),1)),"Không tìm thấy"))</f>
        <v/>
      </c>
    </row>
    <row r="109">
      <c r="C109" s="5">
        <f>IF($B109="","",IFERROR(INDEX('DM_DoiTuong'!$B$2:$B$19,AGGREGATE(15,6,ROW('DM_DoiTuong'!$B$2:$B$19)-ROW('DM_DoiTuong'!$B$2)+1/ISNUMBER(SEARCH(SUBSTITUTE(UPPER($B109)," ",""),'DM_DoiTuong'!$C$2:$C$19)),1)),"Không tìm thấy"))</f>
        <v/>
      </c>
      <c r="E109" s="5">
        <f>IF($C109="","",IFERROR(INDEX('DM_DiaDiemKham'!$B$2:$B$6,AGGREGATE(15,6,ROW('DM_DiaDiemKham'!$B$2:$B$6)-ROW('DM_DiaDiemKham'!$B$2)+1/ISNUMBER(SEARCH(SUBSTITUTE(UPPER($C109)," ",""),'DM_DiaDiemKham'!$C$2:$C$6)),1)),"Không tìm thấy"))</f>
        <v/>
      </c>
      <c r="G109" s="5">
        <f>IF($D109="","",IFERROR(INDEX('DM_HinhThucChiTra'!$B$2:$B$5,AGGREGATE(15,6,ROW('DM_HinhThucChiTra'!$B$2:$B$5)-ROW('DM_HinhThucChiTra'!$B$2)+1/ISNUMBER(SEARCH(SUBSTITUTE(UPPER($D109)," ",""),'DM_HinhThucChiTra'!$C$2:$C$5)),1)),"Không tìm thấy"))</f>
        <v/>
      </c>
      <c r="I109" s="5">
        <f>IF($E109="","",IFERROR(INDEX('DM_HinhThucKham'!$B$2:$B$3,AGGREGATE(15,6,ROW('DM_HinhThucKham'!$B$2:$B$3)-ROW('DM_HinhThucKham'!$B$2)+1/ISNUMBER(SEARCH(SUBSTITUTE(UPPER($E109)," ",""),'DM_HinhThucKham'!$C$2:$C$3)),1)),"Không tìm thấy"))</f>
        <v/>
      </c>
      <c r="P109" s="5">
        <f>IF($K109="","",IFERROR(INDEX('DM_DanToc'!$B$2:$B$78,AGGREGATE(15,6,ROW('DM_DanToc'!$B$2:$B$78)-ROW('DM_DanToc'!$B$2)+1/ISNUMBER(SEARCH(SUBSTITUTE(UPPER($K109)," ",""),'DM_DanToc'!$C$2:$C$78)),1)),"Không tìm thấy"))</f>
        <v/>
      </c>
      <c r="W109" s="5">
        <f>IF($Q109="","",IFERROR(INDEX('DM_TinhThanh'!$B$2:$B$35,AGGREGATE(15,6,ROW('DM_TinhThanh'!$B$2:$B$35)-ROW('DM_TinhThanh'!$B$2)+1/ISNUMBER(SEARCH(SUBSTITUTE(UPPER($Q109)," ",""),'DM_TinhThanh'!$C$2:$C$35)),1)),"Không tìm thấy"))</f>
        <v/>
      </c>
      <c r="Y109" s="5">
        <f>IF($R109="","",IFERROR(INDEX('DM_XaPhuong'!$B$2:$B$169,AGGREGATE(15,6,ROW('DM_XaPhuong'!$B$2:$B$169)-ROW('DM_XaPhuong'!$B$2)+1/ISNUMBER(SEARCH(SUBSTITUTE(UPPER($R109)," ",""),'DM_XaPhuong'!$C$2:$C$169)),1)),"Không tìm thấy"))</f>
        <v/>
      </c>
      <c r="AB109" s="5">
        <f>IF($T109="","",IFERROR(INDEX('DM_NgheNghiep'!$B$2:$B$11,AGGREGATE(15,6,ROW('DM_NgheNghiep'!$B$2:$B$11)-ROW('DM_NgheNghiep'!$B$2)+1/ISNUMBER(SEARCH(SUBSTITUTE(UPPER($T109)," ",""),'DM_NgheNghiep'!$C$2:$C$11)),1)),"Không tìm thấy"))</f>
        <v/>
      </c>
      <c r="AD109" s="5">
        <f>IF($U109="","",IFERROR(INDEX('DM_NoiCongTac'!$B$2:$B$11,AGGREGATE(15,6,ROW('DM_NoiCongTac'!$B$2:$B$11)-ROW('DM_NoiCongTac'!$B$2)+1/ISNUMBER(SEARCH(SUBSTITUTE(UPPER($U109)," ",""),'DM_NoiCongTac'!$C$2:$C$11)),1)),"Không tìm thấy"))</f>
        <v/>
      </c>
      <c r="AF109" s="5">
        <f>IF($V109="","",IFERROR(INDEX('DM_XaPhuong'!$B$2:$B$169,AGGREGATE(15,6,ROW('DM_XaPhuong'!$B$2:$B$169)-ROW('DM_XaPhuong'!$B$2)+1/ISNUMBER(SEARCH(SUBSTITUTE(UPPER($V109)," ",""),'DM_XaPhuong'!$C$2:$C$169)),1)),"Không tìm thấy"))</f>
        <v/>
      </c>
    </row>
    <row r="110">
      <c r="C110" s="5">
        <f>IF($B110="","",IFERROR(INDEX('DM_DoiTuong'!$B$2:$B$19,AGGREGATE(15,6,ROW('DM_DoiTuong'!$B$2:$B$19)-ROW('DM_DoiTuong'!$B$2)+1/ISNUMBER(SEARCH(SUBSTITUTE(UPPER($B110)," ",""),'DM_DoiTuong'!$C$2:$C$19)),1)),"Không tìm thấy"))</f>
        <v/>
      </c>
      <c r="E110" s="5">
        <f>IF($C110="","",IFERROR(INDEX('DM_DiaDiemKham'!$B$2:$B$6,AGGREGATE(15,6,ROW('DM_DiaDiemKham'!$B$2:$B$6)-ROW('DM_DiaDiemKham'!$B$2)+1/ISNUMBER(SEARCH(SUBSTITUTE(UPPER($C110)," ",""),'DM_DiaDiemKham'!$C$2:$C$6)),1)),"Không tìm thấy"))</f>
        <v/>
      </c>
      <c r="G110" s="5">
        <f>IF($D110="","",IFERROR(INDEX('DM_HinhThucChiTra'!$B$2:$B$5,AGGREGATE(15,6,ROW('DM_HinhThucChiTra'!$B$2:$B$5)-ROW('DM_HinhThucChiTra'!$B$2)+1/ISNUMBER(SEARCH(SUBSTITUTE(UPPER($D110)," ",""),'DM_HinhThucChiTra'!$C$2:$C$5)),1)),"Không tìm thấy"))</f>
        <v/>
      </c>
      <c r="I110" s="5">
        <f>IF($E110="","",IFERROR(INDEX('DM_HinhThucKham'!$B$2:$B$3,AGGREGATE(15,6,ROW('DM_HinhThucKham'!$B$2:$B$3)-ROW('DM_HinhThucKham'!$B$2)+1/ISNUMBER(SEARCH(SUBSTITUTE(UPPER($E110)," ",""),'DM_HinhThucKham'!$C$2:$C$3)),1)),"Không tìm thấy"))</f>
        <v/>
      </c>
      <c r="P110" s="5">
        <f>IF($K110="","",IFERROR(INDEX('DM_DanToc'!$B$2:$B$78,AGGREGATE(15,6,ROW('DM_DanToc'!$B$2:$B$78)-ROW('DM_DanToc'!$B$2)+1/ISNUMBER(SEARCH(SUBSTITUTE(UPPER($K110)," ",""),'DM_DanToc'!$C$2:$C$78)),1)),"Không tìm thấy"))</f>
        <v/>
      </c>
      <c r="W110" s="5">
        <f>IF($Q110="","",IFERROR(INDEX('DM_TinhThanh'!$B$2:$B$35,AGGREGATE(15,6,ROW('DM_TinhThanh'!$B$2:$B$35)-ROW('DM_TinhThanh'!$B$2)+1/ISNUMBER(SEARCH(SUBSTITUTE(UPPER($Q110)," ",""),'DM_TinhThanh'!$C$2:$C$35)),1)),"Không tìm thấy"))</f>
        <v/>
      </c>
      <c r="Y110" s="5">
        <f>IF($R110="","",IFERROR(INDEX('DM_XaPhuong'!$B$2:$B$169,AGGREGATE(15,6,ROW('DM_XaPhuong'!$B$2:$B$169)-ROW('DM_XaPhuong'!$B$2)+1/ISNUMBER(SEARCH(SUBSTITUTE(UPPER($R110)," ",""),'DM_XaPhuong'!$C$2:$C$169)),1)),"Không tìm thấy"))</f>
        <v/>
      </c>
      <c r="AB110" s="5">
        <f>IF($T110="","",IFERROR(INDEX('DM_NgheNghiep'!$B$2:$B$11,AGGREGATE(15,6,ROW('DM_NgheNghiep'!$B$2:$B$11)-ROW('DM_NgheNghiep'!$B$2)+1/ISNUMBER(SEARCH(SUBSTITUTE(UPPER($T110)," ",""),'DM_NgheNghiep'!$C$2:$C$11)),1)),"Không tìm thấy"))</f>
        <v/>
      </c>
      <c r="AD110" s="5">
        <f>IF($U110="","",IFERROR(INDEX('DM_NoiCongTac'!$B$2:$B$11,AGGREGATE(15,6,ROW('DM_NoiCongTac'!$B$2:$B$11)-ROW('DM_NoiCongTac'!$B$2)+1/ISNUMBER(SEARCH(SUBSTITUTE(UPPER($U110)," ",""),'DM_NoiCongTac'!$C$2:$C$11)),1)),"Không tìm thấy"))</f>
        <v/>
      </c>
      <c r="AF110" s="5">
        <f>IF($V110="","",IFERROR(INDEX('DM_XaPhuong'!$B$2:$B$169,AGGREGATE(15,6,ROW('DM_XaPhuong'!$B$2:$B$169)-ROW('DM_XaPhuong'!$B$2)+1/ISNUMBER(SEARCH(SUBSTITUTE(UPPER($V110)," ",""),'DM_XaPhuong'!$C$2:$C$169)),1)),"Không tìm thấy"))</f>
        <v/>
      </c>
    </row>
    <row r="111">
      <c r="C111" s="5">
        <f>IF($B111="","",IFERROR(INDEX('DM_DoiTuong'!$B$2:$B$19,AGGREGATE(15,6,ROW('DM_DoiTuong'!$B$2:$B$19)-ROW('DM_DoiTuong'!$B$2)+1/ISNUMBER(SEARCH(SUBSTITUTE(UPPER($B111)," ",""),'DM_DoiTuong'!$C$2:$C$19)),1)),"Không tìm thấy"))</f>
        <v/>
      </c>
      <c r="E111" s="5">
        <f>IF($C111="","",IFERROR(INDEX('DM_DiaDiemKham'!$B$2:$B$6,AGGREGATE(15,6,ROW('DM_DiaDiemKham'!$B$2:$B$6)-ROW('DM_DiaDiemKham'!$B$2)+1/ISNUMBER(SEARCH(SUBSTITUTE(UPPER($C111)," ",""),'DM_DiaDiemKham'!$C$2:$C$6)),1)),"Không tìm thấy"))</f>
        <v/>
      </c>
      <c r="G111" s="5">
        <f>IF($D111="","",IFERROR(INDEX('DM_HinhThucChiTra'!$B$2:$B$5,AGGREGATE(15,6,ROW('DM_HinhThucChiTra'!$B$2:$B$5)-ROW('DM_HinhThucChiTra'!$B$2)+1/ISNUMBER(SEARCH(SUBSTITUTE(UPPER($D111)," ",""),'DM_HinhThucChiTra'!$C$2:$C$5)),1)),"Không tìm thấy"))</f>
        <v/>
      </c>
      <c r="I111" s="5">
        <f>IF($E111="","",IFERROR(INDEX('DM_HinhThucKham'!$B$2:$B$3,AGGREGATE(15,6,ROW('DM_HinhThucKham'!$B$2:$B$3)-ROW('DM_HinhThucKham'!$B$2)+1/ISNUMBER(SEARCH(SUBSTITUTE(UPPER($E111)," ",""),'DM_HinhThucKham'!$C$2:$C$3)),1)),"Không tìm thấy"))</f>
        <v/>
      </c>
      <c r="P111" s="5">
        <f>IF($K111="","",IFERROR(INDEX('DM_DanToc'!$B$2:$B$78,AGGREGATE(15,6,ROW('DM_DanToc'!$B$2:$B$78)-ROW('DM_DanToc'!$B$2)+1/ISNUMBER(SEARCH(SUBSTITUTE(UPPER($K111)," ",""),'DM_DanToc'!$C$2:$C$78)),1)),"Không tìm thấy"))</f>
        <v/>
      </c>
      <c r="W111" s="5">
        <f>IF($Q111="","",IFERROR(INDEX('DM_TinhThanh'!$B$2:$B$35,AGGREGATE(15,6,ROW('DM_TinhThanh'!$B$2:$B$35)-ROW('DM_TinhThanh'!$B$2)+1/ISNUMBER(SEARCH(SUBSTITUTE(UPPER($Q111)," ",""),'DM_TinhThanh'!$C$2:$C$35)),1)),"Không tìm thấy"))</f>
        <v/>
      </c>
      <c r="Y111" s="5">
        <f>IF($R111="","",IFERROR(INDEX('DM_XaPhuong'!$B$2:$B$169,AGGREGATE(15,6,ROW('DM_XaPhuong'!$B$2:$B$169)-ROW('DM_XaPhuong'!$B$2)+1/ISNUMBER(SEARCH(SUBSTITUTE(UPPER($R111)," ",""),'DM_XaPhuong'!$C$2:$C$169)),1)),"Không tìm thấy"))</f>
        <v/>
      </c>
      <c r="AB111" s="5">
        <f>IF($T111="","",IFERROR(INDEX('DM_NgheNghiep'!$B$2:$B$11,AGGREGATE(15,6,ROW('DM_NgheNghiep'!$B$2:$B$11)-ROW('DM_NgheNghiep'!$B$2)+1/ISNUMBER(SEARCH(SUBSTITUTE(UPPER($T111)," ",""),'DM_NgheNghiep'!$C$2:$C$11)),1)),"Không tìm thấy"))</f>
        <v/>
      </c>
      <c r="AD111" s="5">
        <f>IF($U111="","",IFERROR(INDEX('DM_NoiCongTac'!$B$2:$B$11,AGGREGATE(15,6,ROW('DM_NoiCongTac'!$B$2:$B$11)-ROW('DM_NoiCongTac'!$B$2)+1/ISNUMBER(SEARCH(SUBSTITUTE(UPPER($U111)," ",""),'DM_NoiCongTac'!$C$2:$C$11)),1)),"Không tìm thấy"))</f>
        <v/>
      </c>
      <c r="AF111" s="5">
        <f>IF($V111="","",IFERROR(INDEX('DM_XaPhuong'!$B$2:$B$169,AGGREGATE(15,6,ROW('DM_XaPhuong'!$B$2:$B$169)-ROW('DM_XaPhuong'!$B$2)+1/ISNUMBER(SEARCH(SUBSTITUTE(UPPER($V111)," ",""),'DM_XaPhuong'!$C$2:$C$169)),1)),"Không tìm thấy"))</f>
        <v/>
      </c>
    </row>
    <row r="112">
      <c r="C112" s="5">
        <f>IF($B112="","",IFERROR(INDEX('DM_DoiTuong'!$B$2:$B$19,AGGREGATE(15,6,ROW('DM_DoiTuong'!$B$2:$B$19)-ROW('DM_DoiTuong'!$B$2)+1/ISNUMBER(SEARCH(SUBSTITUTE(UPPER($B112)," ",""),'DM_DoiTuong'!$C$2:$C$19)),1)),"Không tìm thấy"))</f>
        <v/>
      </c>
      <c r="E112" s="5">
        <f>IF($C112="","",IFERROR(INDEX('DM_DiaDiemKham'!$B$2:$B$6,AGGREGATE(15,6,ROW('DM_DiaDiemKham'!$B$2:$B$6)-ROW('DM_DiaDiemKham'!$B$2)+1/ISNUMBER(SEARCH(SUBSTITUTE(UPPER($C112)," ",""),'DM_DiaDiemKham'!$C$2:$C$6)),1)),"Không tìm thấy"))</f>
        <v/>
      </c>
      <c r="G112" s="5">
        <f>IF($D112="","",IFERROR(INDEX('DM_HinhThucChiTra'!$B$2:$B$5,AGGREGATE(15,6,ROW('DM_HinhThucChiTra'!$B$2:$B$5)-ROW('DM_HinhThucChiTra'!$B$2)+1/ISNUMBER(SEARCH(SUBSTITUTE(UPPER($D112)," ",""),'DM_HinhThucChiTra'!$C$2:$C$5)),1)),"Không tìm thấy"))</f>
        <v/>
      </c>
      <c r="I112" s="5">
        <f>IF($E112="","",IFERROR(INDEX('DM_HinhThucKham'!$B$2:$B$3,AGGREGATE(15,6,ROW('DM_HinhThucKham'!$B$2:$B$3)-ROW('DM_HinhThucKham'!$B$2)+1/ISNUMBER(SEARCH(SUBSTITUTE(UPPER($E112)," ",""),'DM_HinhThucKham'!$C$2:$C$3)),1)),"Không tìm thấy"))</f>
        <v/>
      </c>
      <c r="P112" s="5">
        <f>IF($K112="","",IFERROR(INDEX('DM_DanToc'!$B$2:$B$78,AGGREGATE(15,6,ROW('DM_DanToc'!$B$2:$B$78)-ROW('DM_DanToc'!$B$2)+1/ISNUMBER(SEARCH(SUBSTITUTE(UPPER($K112)," ",""),'DM_DanToc'!$C$2:$C$78)),1)),"Không tìm thấy"))</f>
        <v/>
      </c>
      <c r="W112" s="5">
        <f>IF($Q112="","",IFERROR(INDEX('DM_TinhThanh'!$B$2:$B$35,AGGREGATE(15,6,ROW('DM_TinhThanh'!$B$2:$B$35)-ROW('DM_TinhThanh'!$B$2)+1/ISNUMBER(SEARCH(SUBSTITUTE(UPPER($Q112)," ",""),'DM_TinhThanh'!$C$2:$C$35)),1)),"Không tìm thấy"))</f>
        <v/>
      </c>
      <c r="Y112" s="5">
        <f>IF($R112="","",IFERROR(INDEX('DM_XaPhuong'!$B$2:$B$169,AGGREGATE(15,6,ROW('DM_XaPhuong'!$B$2:$B$169)-ROW('DM_XaPhuong'!$B$2)+1/ISNUMBER(SEARCH(SUBSTITUTE(UPPER($R112)," ",""),'DM_XaPhuong'!$C$2:$C$169)),1)),"Không tìm thấy"))</f>
        <v/>
      </c>
      <c r="AB112" s="5">
        <f>IF($T112="","",IFERROR(INDEX('DM_NgheNghiep'!$B$2:$B$11,AGGREGATE(15,6,ROW('DM_NgheNghiep'!$B$2:$B$11)-ROW('DM_NgheNghiep'!$B$2)+1/ISNUMBER(SEARCH(SUBSTITUTE(UPPER($T112)," ",""),'DM_NgheNghiep'!$C$2:$C$11)),1)),"Không tìm thấy"))</f>
        <v/>
      </c>
      <c r="AD112" s="5">
        <f>IF($U112="","",IFERROR(INDEX('DM_NoiCongTac'!$B$2:$B$11,AGGREGATE(15,6,ROW('DM_NoiCongTac'!$B$2:$B$11)-ROW('DM_NoiCongTac'!$B$2)+1/ISNUMBER(SEARCH(SUBSTITUTE(UPPER($U112)," ",""),'DM_NoiCongTac'!$C$2:$C$11)),1)),"Không tìm thấy"))</f>
        <v/>
      </c>
      <c r="AF112" s="5">
        <f>IF($V112="","",IFERROR(INDEX('DM_XaPhuong'!$B$2:$B$169,AGGREGATE(15,6,ROW('DM_XaPhuong'!$B$2:$B$169)-ROW('DM_XaPhuong'!$B$2)+1/ISNUMBER(SEARCH(SUBSTITUTE(UPPER($V112)," ",""),'DM_XaPhuong'!$C$2:$C$169)),1)),"Không tìm thấy"))</f>
        <v/>
      </c>
    </row>
    <row r="113">
      <c r="C113" s="5">
        <f>IF($B113="","",IFERROR(INDEX('DM_DoiTuong'!$B$2:$B$19,AGGREGATE(15,6,ROW('DM_DoiTuong'!$B$2:$B$19)-ROW('DM_DoiTuong'!$B$2)+1/ISNUMBER(SEARCH(SUBSTITUTE(UPPER($B113)," ",""),'DM_DoiTuong'!$C$2:$C$19)),1)),"Không tìm thấy"))</f>
        <v/>
      </c>
      <c r="E113" s="5">
        <f>IF($C113="","",IFERROR(INDEX('DM_DiaDiemKham'!$B$2:$B$6,AGGREGATE(15,6,ROW('DM_DiaDiemKham'!$B$2:$B$6)-ROW('DM_DiaDiemKham'!$B$2)+1/ISNUMBER(SEARCH(SUBSTITUTE(UPPER($C113)," ",""),'DM_DiaDiemKham'!$C$2:$C$6)),1)),"Không tìm thấy"))</f>
        <v/>
      </c>
      <c r="G113" s="5">
        <f>IF($D113="","",IFERROR(INDEX('DM_HinhThucChiTra'!$B$2:$B$5,AGGREGATE(15,6,ROW('DM_HinhThucChiTra'!$B$2:$B$5)-ROW('DM_HinhThucChiTra'!$B$2)+1/ISNUMBER(SEARCH(SUBSTITUTE(UPPER($D113)," ",""),'DM_HinhThucChiTra'!$C$2:$C$5)),1)),"Không tìm thấy"))</f>
        <v/>
      </c>
      <c r="I113" s="5">
        <f>IF($E113="","",IFERROR(INDEX('DM_HinhThucKham'!$B$2:$B$3,AGGREGATE(15,6,ROW('DM_HinhThucKham'!$B$2:$B$3)-ROW('DM_HinhThucKham'!$B$2)+1/ISNUMBER(SEARCH(SUBSTITUTE(UPPER($E113)," ",""),'DM_HinhThucKham'!$C$2:$C$3)),1)),"Không tìm thấy"))</f>
        <v/>
      </c>
      <c r="P113" s="5">
        <f>IF($K113="","",IFERROR(INDEX('DM_DanToc'!$B$2:$B$78,AGGREGATE(15,6,ROW('DM_DanToc'!$B$2:$B$78)-ROW('DM_DanToc'!$B$2)+1/ISNUMBER(SEARCH(SUBSTITUTE(UPPER($K113)," ",""),'DM_DanToc'!$C$2:$C$78)),1)),"Không tìm thấy"))</f>
        <v/>
      </c>
      <c r="W113" s="5">
        <f>IF($Q113="","",IFERROR(INDEX('DM_TinhThanh'!$B$2:$B$35,AGGREGATE(15,6,ROW('DM_TinhThanh'!$B$2:$B$35)-ROW('DM_TinhThanh'!$B$2)+1/ISNUMBER(SEARCH(SUBSTITUTE(UPPER($Q113)," ",""),'DM_TinhThanh'!$C$2:$C$35)),1)),"Không tìm thấy"))</f>
        <v/>
      </c>
      <c r="Y113" s="5">
        <f>IF($R113="","",IFERROR(INDEX('DM_XaPhuong'!$B$2:$B$169,AGGREGATE(15,6,ROW('DM_XaPhuong'!$B$2:$B$169)-ROW('DM_XaPhuong'!$B$2)+1/ISNUMBER(SEARCH(SUBSTITUTE(UPPER($R113)," ",""),'DM_XaPhuong'!$C$2:$C$169)),1)),"Không tìm thấy"))</f>
        <v/>
      </c>
      <c r="AB113" s="5">
        <f>IF($T113="","",IFERROR(INDEX('DM_NgheNghiep'!$B$2:$B$11,AGGREGATE(15,6,ROW('DM_NgheNghiep'!$B$2:$B$11)-ROW('DM_NgheNghiep'!$B$2)+1/ISNUMBER(SEARCH(SUBSTITUTE(UPPER($T113)," ",""),'DM_NgheNghiep'!$C$2:$C$11)),1)),"Không tìm thấy"))</f>
        <v/>
      </c>
      <c r="AD113" s="5">
        <f>IF($U113="","",IFERROR(INDEX('DM_NoiCongTac'!$B$2:$B$11,AGGREGATE(15,6,ROW('DM_NoiCongTac'!$B$2:$B$11)-ROW('DM_NoiCongTac'!$B$2)+1/ISNUMBER(SEARCH(SUBSTITUTE(UPPER($U113)," ",""),'DM_NoiCongTac'!$C$2:$C$11)),1)),"Không tìm thấy"))</f>
        <v/>
      </c>
      <c r="AF113" s="5">
        <f>IF($V113="","",IFERROR(INDEX('DM_XaPhuong'!$B$2:$B$169,AGGREGATE(15,6,ROW('DM_XaPhuong'!$B$2:$B$169)-ROW('DM_XaPhuong'!$B$2)+1/ISNUMBER(SEARCH(SUBSTITUTE(UPPER($V113)," ",""),'DM_XaPhuong'!$C$2:$C$169)),1)),"Không tìm thấy"))</f>
        <v/>
      </c>
    </row>
    <row r="114">
      <c r="C114" s="5">
        <f>IF($B114="","",IFERROR(INDEX('DM_DoiTuong'!$B$2:$B$19,AGGREGATE(15,6,ROW('DM_DoiTuong'!$B$2:$B$19)-ROW('DM_DoiTuong'!$B$2)+1/ISNUMBER(SEARCH(SUBSTITUTE(UPPER($B114)," ",""),'DM_DoiTuong'!$C$2:$C$19)),1)),"Không tìm thấy"))</f>
        <v/>
      </c>
      <c r="E114" s="5">
        <f>IF($C114="","",IFERROR(INDEX('DM_DiaDiemKham'!$B$2:$B$6,AGGREGATE(15,6,ROW('DM_DiaDiemKham'!$B$2:$B$6)-ROW('DM_DiaDiemKham'!$B$2)+1/ISNUMBER(SEARCH(SUBSTITUTE(UPPER($C114)," ",""),'DM_DiaDiemKham'!$C$2:$C$6)),1)),"Không tìm thấy"))</f>
        <v/>
      </c>
      <c r="G114" s="5">
        <f>IF($D114="","",IFERROR(INDEX('DM_HinhThucChiTra'!$B$2:$B$5,AGGREGATE(15,6,ROW('DM_HinhThucChiTra'!$B$2:$B$5)-ROW('DM_HinhThucChiTra'!$B$2)+1/ISNUMBER(SEARCH(SUBSTITUTE(UPPER($D114)," ",""),'DM_HinhThucChiTra'!$C$2:$C$5)),1)),"Không tìm thấy"))</f>
        <v/>
      </c>
      <c r="I114" s="5">
        <f>IF($E114="","",IFERROR(INDEX('DM_HinhThucKham'!$B$2:$B$3,AGGREGATE(15,6,ROW('DM_HinhThucKham'!$B$2:$B$3)-ROW('DM_HinhThucKham'!$B$2)+1/ISNUMBER(SEARCH(SUBSTITUTE(UPPER($E114)," ",""),'DM_HinhThucKham'!$C$2:$C$3)),1)),"Không tìm thấy"))</f>
        <v/>
      </c>
      <c r="P114" s="5">
        <f>IF($K114="","",IFERROR(INDEX('DM_DanToc'!$B$2:$B$78,AGGREGATE(15,6,ROW('DM_DanToc'!$B$2:$B$78)-ROW('DM_DanToc'!$B$2)+1/ISNUMBER(SEARCH(SUBSTITUTE(UPPER($K114)," ",""),'DM_DanToc'!$C$2:$C$78)),1)),"Không tìm thấy"))</f>
        <v/>
      </c>
      <c r="W114" s="5">
        <f>IF($Q114="","",IFERROR(INDEX('DM_TinhThanh'!$B$2:$B$35,AGGREGATE(15,6,ROW('DM_TinhThanh'!$B$2:$B$35)-ROW('DM_TinhThanh'!$B$2)+1/ISNUMBER(SEARCH(SUBSTITUTE(UPPER($Q114)," ",""),'DM_TinhThanh'!$C$2:$C$35)),1)),"Không tìm thấy"))</f>
        <v/>
      </c>
      <c r="Y114" s="5">
        <f>IF($R114="","",IFERROR(INDEX('DM_XaPhuong'!$B$2:$B$169,AGGREGATE(15,6,ROW('DM_XaPhuong'!$B$2:$B$169)-ROW('DM_XaPhuong'!$B$2)+1/ISNUMBER(SEARCH(SUBSTITUTE(UPPER($R114)," ",""),'DM_XaPhuong'!$C$2:$C$169)),1)),"Không tìm thấy"))</f>
        <v/>
      </c>
      <c r="AB114" s="5">
        <f>IF($T114="","",IFERROR(INDEX('DM_NgheNghiep'!$B$2:$B$11,AGGREGATE(15,6,ROW('DM_NgheNghiep'!$B$2:$B$11)-ROW('DM_NgheNghiep'!$B$2)+1/ISNUMBER(SEARCH(SUBSTITUTE(UPPER($T114)," ",""),'DM_NgheNghiep'!$C$2:$C$11)),1)),"Không tìm thấy"))</f>
        <v/>
      </c>
      <c r="AD114" s="5">
        <f>IF($U114="","",IFERROR(INDEX('DM_NoiCongTac'!$B$2:$B$11,AGGREGATE(15,6,ROW('DM_NoiCongTac'!$B$2:$B$11)-ROW('DM_NoiCongTac'!$B$2)+1/ISNUMBER(SEARCH(SUBSTITUTE(UPPER($U114)," ",""),'DM_NoiCongTac'!$C$2:$C$11)),1)),"Không tìm thấy"))</f>
        <v/>
      </c>
      <c r="AF114" s="5">
        <f>IF($V114="","",IFERROR(INDEX('DM_XaPhuong'!$B$2:$B$169,AGGREGATE(15,6,ROW('DM_XaPhuong'!$B$2:$B$169)-ROW('DM_XaPhuong'!$B$2)+1/ISNUMBER(SEARCH(SUBSTITUTE(UPPER($V114)," ",""),'DM_XaPhuong'!$C$2:$C$169)),1)),"Không tìm thấy"))</f>
        <v/>
      </c>
    </row>
    <row r="115">
      <c r="C115" s="5">
        <f>IF($B115="","",IFERROR(INDEX('DM_DoiTuong'!$B$2:$B$19,AGGREGATE(15,6,ROW('DM_DoiTuong'!$B$2:$B$19)-ROW('DM_DoiTuong'!$B$2)+1/ISNUMBER(SEARCH(SUBSTITUTE(UPPER($B115)," ",""),'DM_DoiTuong'!$C$2:$C$19)),1)),"Không tìm thấy"))</f>
        <v/>
      </c>
      <c r="E115" s="5">
        <f>IF($C115="","",IFERROR(INDEX('DM_DiaDiemKham'!$B$2:$B$6,AGGREGATE(15,6,ROW('DM_DiaDiemKham'!$B$2:$B$6)-ROW('DM_DiaDiemKham'!$B$2)+1/ISNUMBER(SEARCH(SUBSTITUTE(UPPER($C115)," ",""),'DM_DiaDiemKham'!$C$2:$C$6)),1)),"Không tìm thấy"))</f>
        <v/>
      </c>
      <c r="G115" s="5">
        <f>IF($D115="","",IFERROR(INDEX('DM_HinhThucChiTra'!$B$2:$B$5,AGGREGATE(15,6,ROW('DM_HinhThucChiTra'!$B$2:$B$5)-ROW('DM_HinhThucChiTra'!$B$2)+1/ISNUMBER(SEARCH(SUBSTITUTE(UPPER($D115)," ",""),'DM_HinhThucChiTra'!$C$2:$C$5)),1)),"Không tìm thấy"))</f>
        <v/>
      </c>
      <c r="I115" s="5">
        <f>IF($E115="","",IFERROR(INDEX('DM_HinhThucKham'!$B$2:$B$3,AGGREGATE(15,6,ROW('DM_HinhThucKham'!$B$2:$B$3)-ROW('DM_HinhThucKham'!$B$2)+1/ISNUMBER(SEARCH(SUBSTITUTE(UPPER($E115)," ",""),'DM_HinhThucKham'!$C$2:$C$3)),1)),"Không tìm thấy"))</f>
        <v/>
      </c>
      <c r="P115" s="5">
        <f>IF($K115="","",IFERROR(INDEX('DM_DanToc'!$B$2:$B$78,AGGREGATE(15,6,ROW('DM_DanToc'!$B$2:$B$78)-ROW('DM_DanToc'!$B$2)+1/ISNUMBER(SEARCH(SUBSTITUTE(UPPER($K115)," ",""),'DM_DanToc'!$C$2:$C$78)),1)),"Không tìm thấy"))</f>
        <v/>
      </c>
      <c r="W115" s="5">
        <f>IF($Q115="","",IFERROR(INDEX('DM_TinhThanh'!$B$2:$B$35,AGGREGATE(15,6,ROW('DM_TinhThanh'!$B$2:$B$35)-ROW('DM_TinhThanh'!$B$2)+1/ISNUMBER(SEARCH(SUBSTITUTE(UPPER($Q115)," ",""),'DM_TinhThanh'!$C$2:$C$35)),1)),"Không tìm thấy"))</f>
        <v/>
      </c>
      <c r="Y115" s="5">
        <f>IF($R115="","",IFERROR(INDEX('DM_XaPhuong'!$B$2:$B$169,AGGREGATE(15,6,ROW('DM_XaPhuong'!$B$2:$B$169)-ROW('DM_XaPhuong'!$B$2)+1/ISNUMBER(SEARCH(SUBSTITUTE(UPPER($R115)," ",""),'DM_XaPhuong'!$C$2:$C$169)),1)),"Không tìm thấy"))</f>
        <v/>
      </c>
      <c r="AB115" s="5">
        <f>IF($T115="","",IFERROR(INDEX('DM_NgheNghiep'!$B$2:$B$11,AGGREGATE(15,6,ROW('DM_NgheNghiep'!$B$2:$B$11)-ROW('DM_NgheNghiep'!$B$2)+1/ISNUMBER(SEARCH(SUBSTITUTE(UPPER($T115)," ",""),'DM_NgheNghiep'!$C$2:$C$11)),1)),"Không tìm thấy"))</f>
        <v/>
      </c>
      <c r="AD115" s="5">
        <f>IF($U115="","",IFERROR(INDEX('DM_NoiCongTac'!$B$2:$B$11,AGGREGATE(15,6,ROW('DM_NoiCongTac'!$B$2:$B$11)-ROW('DM_NoiCongTac'!$B$2)+1/ISNUMBER(SEARCH(SUBSTITUTE(UPPER($U115)," ",""),'DM_NoiCongTac'!$C$2:$C$11)),1)),"Không tìm thấy"))</f>
        <v/>
      </c>
      <c r="AF115" s="5">
        <f>IF($V115="","",IFERROR(INDEX('DM_XaPhuong'!$B$2:$B$169,AGGREGATE(15,6,ROW('DM_XaPhuong'!$B$2:$B$169)-ROW('DM_XaPhuong'!$B$2)+1/ISNUMBER(SEARCH(SUBSTITUTE(UPPER($V115)," ",""),'DM_XaPhuong'!$C$2:$C$169)),1)),"Không tìm thấy"))</f>
        <v/>
      </c>
    </row>
    <row r="116">
      <c r="C116" s="5">
        <f>IF($B116="","",IFERROR(INDEX('DM_DoiTuong'!$B$2:$B$19,AGGREGATE(15,6,ROW('DM_DoiTuong'!$B$2:$B$19)-ROW('DM_DoiTuong'!$B$2)+1/ISNUMBER(SEARCH(SUBSTITUTE(UPPER($B116)," ",""),'DM_DoiTuong'!$C$2:$C$19)),1)),"Không tìm thấy"))</f>
        <v/>
      </c>
      <c r="E116" s="5">
        <f>IF($C116="","",IFERROR(INDEX('DM_DiaDiemKham'!$B$2:$B$6,AGGREGATE(15,6,ROW('DM_DiaDiemKham'!$B$2:$B$6)-ROW('DM_DiaDiemKham'!$B$2)+1/ISNUMBER(SEARCH(SUBSTITUTE(UPPER($C116)," ",""),'DM_DiaDiemKham'!$C$2:$C$6)),1)),"Không tìm thấy"))</f>
        <v/>
      </c>
      <c r="G116" s="5">
        <f>IF($D116="","",IFERROR(INDEX('DM_HinhThucChiTra'!$B$2:$B$5,AGGREGATE(15,6,ROW('DM_HinhThucChiTra'!$B$2:$B$5)-ROW('DM_HinhThucChiTra'!$B$2)+1/ISNUMBER(SEARCH(SUBSTITUTE(UPPER($D116)," ",""),'DM_HinhThucChiTra'!$C$2:$C$5)),1)),"Không tìm thấy"))</f>
        <v/>
      </c>
      <c r="I116" s="5">
        <f>IF($E116="","",IFERROR(INDEX('DM_HinhThucKham'!$B$2:$B$3,AGGREGATE(15,6,ROW('DM_HinhThucKham'!$B$2:$B$3)-ROW('DM_HinhThucKham'!$B$2)+1/ISNUMBER(SEARCH(SUBSTITUTE(UPPER($E116)," ",""),'DM_HinhThucKham'!$C$2:$C$3)),1)),"Không tìm thấy"))</f>
        <v/>
      </c>
      <c r="P116" s="5">
        <f>IF($K116="","",IFERROR(INDEX('DM_DanToc'!$B$2:$B$78,AGGREGATE(15,6,ROW('DM_DanToc'!$B$2:$B$78)-ROW('DM_DanToc'!$B$2)+1/ISNUMBER(SEARCH(SUBSTITUTE(UPPER($K116)," ",""),'DM_DanToc'!$C$2:$C$78)),1)),"Không tìm thấy"))</f>
        <v/>
      </c>
      <c r="W116" s="5">
        <f>IF($Q116="","",IFERROR(INDEX('DM_TinhThanh'!$B$2:$B$35,AGGREGATE(15,6,ROW('DM_TinhThanh'!$B$2:$B$35)-ROW('DM_TinhThanh'!$B$2)+1/ISNUMBER(SEARCH(SUBSTITUTE(UPPER($Q116)," ",""),'DM_TinhThanh'!$C$2:$C$35)),1)),"Không tìm thấy"))</f>
        <v/>
      </c>
      <c r="Y116" s="5">
        <f>IF($R116="","",IFERROR(INDEX('DM_XaPhuong'!$B$2:$B$169,AGGREGATE(15,6,ROW('DM_XaPhuong'!$B$2:$B$169)-ROW('DM_XaPhuong'!$B$2)+1/ISNUMBER(SEARCH(SUBSTITUTE(UPPER($R116)," ",""),'DM_XaPhuong'!$C$2:$C$169)),1)),"Không tìm thấy"))</f>
        <v/>
      </c>
      <c r="AB116" s="5">
        <f>IF($T116="","",IFERROR(INDEX('DM_NgheNghiep'!$B$2:$B$11,AGGREGATE(15,6,ROW('DM_NgheNghiep'!$B$2:$B$11)-ROW('DM_NgheNghiep'!$B$2)+1/ISNUMBER(SEARCH(SUBSTITUTE(UPPER($T116)," ",""),'DM_NgheNghiep'!$C$2:$C$11)),1)),"Không tìm thấy"))</f>
        <v/>
      </c>
      <c r="AD116" s="5">
        <f>IF($U116="","",IFERROR(INDEX('DM_NoiCongTac'!$B$2:$B$11,AGGREGATE(15,6,ROW('DM_NoiCongTac'!$B$2:$B$11)-ROW('DM_NoiCongTac'!$B$2)+1/ISNUMBER(SEARCH(SUBSTITUTE(UPPER($U116)," ",""),'DM_NoiCongTac'!$C$2:$C$11)),1)),"Không tìm thấy"))</f>
        <v/>
      </c>
      <c r="AF116" s="5">
        <f>IF($V116="","",IFERROR(INDEX('DM_XaPhuong'!$B$2:$B$169,AGGREGATE(15,6,ROW('DM_XaPhuong'!$B$2:$B$169)-ROW('DM_XaPhuong'!$B$2)+1/ISNUMBER(SEARCH(SUBSTITUTE(UPPER($V116)," ",""),'DM_XaPhuong'!$C$2:$C$169)),1)),"Không tìm thấy"))</f>
        <v/>
      </c>
    </row>
    <row r="117">
      <c r="C117" s="5">
        <f>IF($B117="","",IFERROR(INDEX('DM_DoiTuong'!$B$2:$B$19,AGGREGATE(15,6,ROW('DM_DoiTuong'!$B$2:$B$19)-ROW('DM_DoiTuong'!$B$2)+1/ISNUMBER(SEARCH(SUBSTITUTE(UPPER($B117)," ",""),'DM_DoiTuong'!$C$2:$C$19)),1)),"Không tìm thấy"))</f>
        <v/>
      </c>
      <c r="E117" s="5">
        <f>IF($C117="","",IFERROR(INDEX('DM_DiaDiemKham'!$B$2:$B$6,AGGREGATE(15,6,ROW('DM_DiaDiemKham'!$B$2:$B$6)-ROW('DM_DiaDiemKham'!$B$2)+1/ISNUMBER(SEARCH(SUBSTITUTE(UPPER($C117)," ",""),'DM_DiaDiemKham'!$C$2:$C$6)),1)),"Không tìm thấy"))</f>
        <v/>
      </c>
      <c r="G117" s="5">
        <f>IF($D117="","",IFERROR(INDEX('DM_HinhThucChiTra'!$B$2:$B$5,AGGREGATE(15,6,ROW('DM_HinhThucChiTra'!$B$2:$B$5)-ROW('DM_HinhThucChiTra'!$B$2)+1/ISNUMBER(SEARCH(SUBSTITUTE(UPPER($D117)," ",""),'DM_HinhThucChiTra'!$C$2:$C$5)),1)),"Không tìm thấy"))</f>
        <v/>
      </c>
      <c r="I117" s="5">
        <f>IF($E117="","",IFERROR(INDEX('DM_HinhThucKham'!$B$2:$B$3,AGGREGATE(15,6,ROW('DM_HinhThucKham'!$B$2:$B$3)-ROW('DM_HinhThucKham'!$B$2)+1/ISNUMBER(SEARCH(SUBSTITUTE(UPPER($E117)," ",""),'DM_HinhThucKham'!$C$2:$C$3)),1)),"Không tìm thấy"))</f>
        <v/>
      </c>
      <c r="P117" s="5">
        <f>IF($K117="","",IFERROR(INDEX('DM_DanToc'!$B$2:$B$78,AGGREGATE(15,6,ROW('DM_DanToc'!$B$2:$B$78)-ROW('DM_DanToc'!$B$2)+1/ISNUMBER(SEARCH(SUBSTITUTE(UPPER($K117)," ",""),'DM_DanToc'!$C$2:$C$78)),1)),"Không tìm thấy"))</f>
        <v/>
      </c>
      <c r="W117" s="5">
        <f>IF($Q117="","",IFERROR(INDEX('DM_TinhThanh'!$B$2:$B$35,AGGREGATE(15,6,ROW('DM_TinhThanh'!$B$2:$B$35)-ROW('DM_TinhThanh'!$B$2)+1/ISNUMBER(SEARCH(SUBSTITUTE(UPPER($Q117)," ",""),'DM_TinhThanh'!$C$2:$C$35)),1)),"Không tìm thấy"))</f>
        <v/>
      </c>
      <c r="Y117" s="5">
        <f>IF($R117="","",IFERROR(INDEX('DM_XaPhuong'!$B$2:$B$169,AGGREGATE(15,6,ROW('DM_XaPhuong'!$B$2:$B$169)-ROW('DM_XaPhuong'!$B$2)+1/ISNUMBER(SEARCH(SUBSTITUTE(UPPER($R117)," ",""),'DM_XaPhuong'!$C$2:$C$169)),1)),"Không tìm thấy"))</f>
        <v/>
      </c>
      <c r="AB117" s="5">
        <f>IF($T117="","",IFERROR(INDEX('DM_NgheNghiep'!$B$2:$B$11,AGGREGATE(15,6,ROW('DM_NgheNghiep'!$B$2:$B$11)-ROW('DM_NgheNghiep'!$B$2)+1/ISNUMBER(SEARCH(SUBSTITUTE(UPPER($T117)," ",""),'DM_NgheNghiep'!$C$2:$C$11)),1)),"Không tìm thấy"))</f>
        <v/>
      </c>
      <c r="AD117" s="5">
        <f>IF($U117="","",IFERROR(INDEX('DM_NoiCongTac'!$B$2:$B$11,AGGREGATE(15,6,ROW('DM_NoiCongTac'!$B$2:$B$11)-ROW('DM_NoiCongTac'!$B$2)+1/ISNUMBER(SEARCH(SUBSTITUTE(UPPER($U117)," ",""),'DM_NoiCongTac'!$C$2:$C$11)),1)),"Không tìm thấy"))</f>
        <v/>
      </c>
      <c r="AF117" s="5">
        <f>IF($V117="","",IFERROR(INDEX('DM_XaPhuong'!$B$2:$B$169,AGGREGATE(15,6,ROW('DM_XaPhuong'!$B$2:$B$169)-ROW('DM_XaPhuong'!$B$2)+1/ISNUMBER(SEARCH(SUBSTITUTE(UPPER($V117)," ",""),'DM_XaPhuong'!$C$2:$C$169)),1)),"Không tìm thấy"))</f>
        <v/>
      </c>
    </row>
    <row r="118">
      <c r="C118" s="5">
        <f>IF($B118="","",IFERROR(INDEX('DM_DoiTuong'!$B$2:$B$19,AGGREGATE(15,6,ROW('DM_DoiTuong'!$B$2:$B$19)-ROW('DM_DoiTuong'!$B$2)+1/ISNUMBER(SEARCH(SUBSTITUTE(UPPER($B118)," ",""),'DM_DoiTuong'!$C$2:$C$19)),1)),"Không tìm thấy"))</f>
        <v/>
      </c>
      <c r="E118" s="5">
        <f>IF($C118="","",IFERROR(INDEX('DM_DiaDiemKham'!$B$2:$B$6,AGGREGATE(15,6,ROW('DM_DiaDiemKham'!$B$2:$B$6)-ROW('DM_DiaDiemKham'!$B$2)+1/ISNUMBER(SEARCH(SUBSTITUTE(UPPER($C118)," ",""),'DM_DiaDiemKham'!$C$2:$C$6)),1)),"Không tìm thấy"))</f>
        <v/>
      </c>
      <c r="G118" s="5">
        <f>IF($D118="","",IFERROR(INDEX('DM_HinhThucChiTra'!$B$2:$B$5,AGGREGATE(15,6,ROW('DM_HinhThucChiTra'!$B$2:$B$5)-ROW('DM_HinhThucChiTra'!$B$2)+1/ISNUMBER(SEARCH(SUBSTITUTE(UPPER($D118)," ",""),'DM_HinhThucChiTra'!$C$2:$C$5)),1)),"Không tìm thấy"))</f>
        <v/>
      </c>
      <c r="I118" s="5">
        <f>IF($E118="","",IFERROR(INDEX('DM_HinhThucKham'!$B$2:$B$3,AGGREGATE(15,6,ROW('DM_HinhThucKham'!$B$2:$B$3)-ROW('DM_HinhThucKham'!$B$2)+1/ISNUMBER(SEARCH(SUBSTITUTE(UPPER($E118)," ",""),'DM_HinhThucKham'!$C$2:$C$3)),1)),"Không tìm thấy"))</f>
        <v/>
      </c>
      <c r="P118" s="5">
        <f>IF($K118="","",IFERROR(INDEX('DM_DanToc'!$B$2:$B$78,AGGREGATE(15,6,ROW('DM_DanToc'!$B$2:$B$78)-ROW('DM_DanToc'!$B$2)+1/ISNUMBER(SEARCH(SUBSTITUTE(UPPER($K118)," ",""),'DM_DanToc'!$C$2:$C$78)),1)),"Không tìm thấy"))</f>
        <v/>
      </c>
      <c r="W118" s="5">
        <f>IF($Q118="","",IFERROR(INDEX('DM_TinhThanh'!$B$2:$B$35,AGGREGATE(15,6,ROW('DM_TinhThanh'!$B$2:$B$35)-ROW('DM_TinhThanh'!$B$2)+1/ISNUMBER(SEARCH(SUBSTITUTE(UPPER($Q118)," ",""),'DM_TinhThanh'!$C$2:$C$35)),1)),"Không tìm thấy"))</f>
        <v/>
      </c>
      <c r="Y118" s="5">
        <f>IF($R118="","",IFERROR(INDEX('DM_XaPhuong'!$B$2:$B$169,AGGREGATE(15,6,ROW('DM_XaPhuong'!$B$2:$B$169)-ROW('DM_XaPhuong'!$B$2)+1/ISNUMBER(SEARCH(SUBSTITUTE(UPPER($R118)," ",""),'DM_XaPhuong'!$C$2:$C$169)),1)),"Không tìm thấy"))</f>
        <v/>
      </c>
      <c r="AB118" s="5">
        <f>IF($T118="","",IFERROR(INDEX('DM_NgheNghiep'!$B$2:$B$11,AGGREGATE(15,6,ROW('DM_NgheNghiep'!$B$2:$B$11)-ROW('DM_NgheNghiep'!$B$2)+1/ISNUMBER(SEARCH(SUBSTITUTE(UPPER($T118)," ",""),'DM_NgheNghiep'!$C$2:$C$11)),1)),"Không tìm thấy"))</f>
        <v/>
      </c>
      <c r="AD118" s="5">
        <f>IF($U118="","",IFERROR(INDEX('DM_NoiCongTac'!$B$2:$B$11,AGGREGATE(15,6,ROW('DM_NoiCongTac'!$B$2:$B$11)-ROW('DM_NoiCongTac'!$B$2)+1/ISNUMBER(SEARCH(SUBSTITUTE(UPPER($U118)," ",""),'DM_NoiCongTac'!$C$2:$C$11)),1)),"Không tìm thấy"))</f>
        <v/>
      </c>
      <c r="AF118" s="5">
        <f>IF($V118="","",IFERROR(INDEX('DM_XaPhuong'!$B$2:$B$169,AGGREGATE(15,6,ROW('DM_XaPhuong'!$B$2:$B$169)-ROW('DM_XaPhuong'!$B$2)+1/ISNUMBER(SEARCH(SUBSTITUTE(UPPER($V118)," ",""),'DM_XaPhuong'!$C$2:$C$169)),1)),"Không tìm thấy"))</f>
        <v/>
      </c>
    </row>
    <row r="119">
      <c r="C119" s="5">
        <f>IF($B119="","",IFERROR(INDEX('DM_DoiTuong'!$B$2:$B$19,AGGREGATE(15,6,ROW('DM_DoiTuong'!$B$2:$B$19)-ROW('DM_DoiTuong'!$B$2)+1/ISNUMBER(SEARCH(SUBSTITUTE(UPPER($B119)," ",""),'DM_DoiTuong'!$C$2:$C$19)),1)),"Không tìm thấy"))</f>
        <v/>
      </c>
      <c r="E119" s="5">
        <f>IF($C119="","",IFERROR(INDEX('DM_DiaDiemKham'!$B$2:$B$6,AGGREGATE(15,6,ROW('DM_DiaDiemKham'!$B$2:$B$6)-ROW('DM_DiaDiemKham'!$B$2)+1/ISNUMBER(SEARCH(SUBSTITUTE(UPPER($C119)," ",""),'DM_DiaDiemKham'!$C$2:$C$6)),1)),"Không tìm thấy"))</f>
        <v/>
      </c>
      <c r="G119" s="5">
        <f>IF($D119="","",IFERROR(INDEX('DM_HinhThucChiTra'!$B$2:$B$5,AGGREGATE(15,6,ROW('DM_HinhThucChiTra'!$B$2:$B$5)-ROW('DM_HinhThucChiTra'!$B$2)+1/ISNUMBER(SEARCH(SUBSTITUTE(UPPER($D119)," ",""),'DM_HinhThucChiTra'!$C$2:$C$5)),1)),"Không tìm thấy"))</f>
        <v/>
      </c>
      <c r="I119" s="5">
        <f>IF($E119="","",IFERROR(INDEX('DM_HinhThucKham'!$B$2:$B$3,AGGREGATE(15,6,ROW('DM_HinhThucKham'!$B$2:$B$3)-ROW('DM_HinhThucKham'!$B$2)+1/ISNUMBER(SEARCH(SUBSTITUTE(UPPER($E119)," ",""),'DM_HinhThucKham'!$C$2:$C$3)),1)),"Không tìm thấy"))</f>
        <v/>
      </c>
      <c r="P119" s="5">
        <f>IF($K119="","",IFERROR(INDEX('DM_DanToc'!$B$2:$B$78,AGGREGATE(15,6,ROW('DM_DanToc'!$B$2:$B$78)-ROW('DM_DanToc'!$B$2)+1/ISNUMBER(SEARCH(SUBSTITUTE(UPPER($K119)," ",""),'DM_DanToc'!$C$2:$C$78)),1)),"Không tìm thấy"))</f>
        <v/>
      </c>
      <c r="W119" s="5">
        <f>IF($Q119="","",IFERROR(INDEX('DM_TinhThanh'!$B$2:$B$35,AGGREGATE(15,6,ROW('DM_TinhThanh'!$B$2:$B$35)-ROW('DM_TinhThanh'!$B$2)+1/ISNUMBER(SEARCH(SUBSTITUTE(UPPER($Q119)," ",""),'DM_TinhThanh'!$C$2:$C$35)),1)),"Không tìm thấy"))</f>
        <v/>
      </c>
      <c r="Y119" s="5">
        <f>IF($R119="","",IFERROR(INDEX('DM_XaPhuong'!$B$2:$B$169,AGGREGATE(15,6,ROW('DM_XaPhuong'!$B$2:$B$169)-ROW('DM_XaPhuong'!$B$2)+1/ISNUMBER(SEARCH(SUBSTITUTE(UPPER($R119)," ",""),'DM_XaPhuong'!$C$2:$C$169)),1)),"Không tìm thấy"))</f>
        <v/>
      </c>
      <c r="AB119" s="5">
        <f>IF($T119="","",IFERROR(INDEX('DM_NgheNghiep'!$B$2:$B$11,AGGREGATE(15,6,ROW('DM_NgheNghiep'!$B$2:$B$11)-ROW('DM_NgheNghiep'!$B$2)+1/ISNUMBER(SEARCH(SUBSTITUTE(UPPER($T119)," ",""),'DM_NgheNghiep'!$C$2:$C$11)),1)),"Không tìm thấy"))</f>
        <v/>
      </c>
      <c r="AD119" s="5">
        <f>IF($U119="","",IFERROR(INDEX('DM_NoiCongTac'!$B$2:$B$11,AGGREGATE(15,6,ROW('DM_NoiCongTac'!$B$2:$B$11)-ROW('DM_NoiCongTac'!$B$2)+1/ISNUMBER(SEARCH(SUBSTITUTE(UPPER($U119)," ",""),'DM_NoiCongTac'!$C$2:$C$11)),1)),"Không tìm thấy"))</f>
        <v/>
      </c>
      <c r="AF119" s="5">
        <f>IF($V119="","",IFERROR(INDEX('DM_XaPhuong'!$B$2:$B$169,AGGREGATE(15,6,ROW('DM_XaPhuong'!$B$2:$B$169)-ROW('DM_XaPhuong'!$B$2)+1/ISNUMBER(SEARCH(SUBSTITUTE(UPPER($V119)," ",""),'DM_XaPhuong'!$C$2:$C$169)),1)),"Không tìm thấy"))</f>
        <v/>
      </c>
    </row>
    <row r="120">
      <c r="C120" s="5">
        <f>IF($B120="","",IFERROR(INDEX('DM_DoiTuong'!$B$2:$B$19,AGGREGATE(15,6,ROW('DM_DoiTuong'!$B$2:$B$19)-ROW('DM_DoiTuong'!$B$2)+1/ISNUMBER(SEARCH(SUBSTITUTE(UPPER($B120)," ",""),'DM_DoiTuong'!$C$2:$C$19)),1)),"Không tìm thấy"))</f>
        <v/>
      </c>
      <c r="E120" s="5">
        <f>IF($C120="","",IFERROR(INDEX('DM_DiaDiemKham'!$B$2:$B$6,AGGREGATE(15,6,ROW('DM_DiaDiemKham'!$B$2:$B$6)-ROW('DM_DiaDiemKham'!$B$2)+1/ISNUMBER(SEARCH(SUBSTITUTE(UPPER($C120)," ",""),'DM_DiaDiemKham'!$C$2:$C$6)),1)),"Không tìm thấy"))</f>
        <v/>
      </c>
      <c r="G120" s="5">
        <f>IF($D120="","",IFERROR(INDEX('DM_HinhThucChiTra'!$B$2:$B$5,AGGREGATE(15,6,ROW('DM_HinhThucChiTra'!$B$2:$B$5)-ROW('DM_HinhThucChiTra'!$B$2)+1/ISNUMBER(SEARCH(SUBSTITUTE(UPPER($D120)," ",""),'DM_HinhThucChiTra'!$C$2:$C$5)),1)),"Không tìm thấy"))</f>
        <v/>
      </c>
      <c r="I120" s="5">
        <f>IF($E120="","",IFERROR(INDEX('DM_HinhThucKham'!$B$2:$B$3,AGGREGATE(15,6,ROW('DM_HinhThucKham'!$B$2:$B$3)-ROW('DM_HinhThucKham'!$B$2)+1/ISNUMBER(SEARCH(SUBSTITUTE(UPPER($E120)," ",""),'DM_HinhThucKham'!$C$2:$C$3)),1)),"Không tìm thấy"))</f>
        <v/>
      </c>
      <c r="P120" s="5">
        <f>IF($K120="","",IFERROR(INDEX('DM_DanToc'!$B$2:$B$78,AGGREGATE(15,6,ROW('DM_DanToc'!$B$2:$B$78)-ROW('DM_DanToc'!$B$2)+1/ISNUMBER(SEARCH(SUBSTITUTE(UPPER($K120)," ",""),'DM_DanToc'!$C$2:$C$78)),1)),"Không tìm thấy"))</f>
        <v/>
      </c>
      <c r="W120" s="5">
        <f>IF($Q120="","",IFERROR(INDEX('DM_TinhThanh'!$B$2:$B$35,AGGREGATE(15,6,ROW('DM_TinhThanh'!$B$2:$B$35)-ROW('DM_TinhThanh'!$B$2)+1/ISNUMBER(SEARCH(SUBSTITUTE(UPPER($Q120)," ",""),'DM_TinhThanh'!$C$2:$C$35)),1)),"Không tìm thấy"))</f>
        <v/>
      </c>
      <c r="Y120" s="5">
        <f>IF($R120="","",IFERROR(INDEX('DM_XaPhuong'!$B$2:$B$169,AGGREGATE(15,6,ROW('DM_XaPhuong'!$B$2:$B$169)-ROW('DM_XaPhuong'!$B$2)+1/ISNUMBER(SEARCH(SUBSTITUTE(UPPER($R120)," ",""),'DM_XaPhuong'!$C$2:$C$169)),1)),"Không tìm thấy"))</f>
        <v/>
      </c>
      <c r="AB120" s="5">
        <f>IF($T120="","",IFERROR(INDEX('DM_NgheNghiep'!$B$2:$B$11,AGGREGATE(15,6,ROW('DM_NgheNghiep'!$B$2:$B$11)-ROW('DM_NgheNghiep'!$B$2)+1/ISNUMBER(SEARCH(SUBSTITUTE(UPPER($T120)," ",""),'DM_NgheNghiep'!$C$2:$C$11)),1)),"Không tìm thấy"))</f>
        <v/>
      </c>
      <c r="AD120" s="5">
        <f>IF($U120="","",IFERROR(INDEX('DM_NoiCongTac'!$B$2:$B$11,AGGREGATE(15,6,ROW('DM_NoiCongTac'!$B$2:$B$11)-ROW('DM_NoiCongTac'!$B$2)+1/ISNUMBER(SEARCH(SUBSTITUTE(UPPER($U120)," ",""),'DM_NoiCongTac'!$C$2:$C$11)),1)),"Không tìm thấy"))</f>
        <v/>
      </c>
      <c r="AF120" s="5">
        <f>IF($V120="","",IFERROR(INDEX('DM_XaPhuong'!$B$2:$B$169,AGGREGATE(15,6,ROW('DM_XaPhuong'!$B$2:$B$169)-ROW('DM_XaPhuong'!$B$2)+1/ISNUMBER(SEARCH(SUBSTITUTE(UPPER($V120)," ",""),'DM_XaPhuong'!$C$2:$C$169)),1)),"Không tìm thấy"))</f>
        <v/>
      </c>
    </row>
    <row r="121">
      <c r="C121" s="5">
        <f>IF($B121="","",IFERROR(INDEX('DM_DoiTuong'!$B$2:$B$19,AGGREGATE(15,6,ROW('DM_DoiTuong'!$B$2:$B$19)-ROW('DM_DoiTuong'!$B$2)+1/ISNUMBER(SEARCH(SUBSTITUTE(UPPER($B121)," ",""),'DM_DoiTuong'!$C$2:$C$19)),1)),"Không tìm thấy"))</f>
        <v/>
      </c>
      <c r="E121" s="5">
        <f>IF($C121="","",IFERROR(INDEX('DM_DiaDiemKham'!$B$2:$B$6,AGGREGATE(15,6,ROW('DM_DiaDiemKham'!$B$2:$B$6)-ROW('DM_DiaDiemKham'!$B$2)+1/ISNUMBER(SEARCH(SUBSTITUTE(UPPER($C121)," ",""),'DM_DiaDiemKham'!$C$2:$C$6)),1)),"Không tìm thấy"))</f>
        <v/>
      </c>
      <c r="G121" s="5">
        <f>IF($D121="","",IFERROR(INDEX('DM_HinhThucChiTra'!$B$2:$B$5,AGGREGATE(15,6,ROW('DM_HinhThucChiTra'!$B$2:$B$5)-ROW('DM_HinhThucChiTra'!$B$2)+1/ISNUMBER(SEARCH(SUBSTITUTE(UPPER($D121)," ",""),'DM_HinhThucChiTra'!$C$2:$C$5)),1)),"Không tìm thấy"))</f>
        <v/>
      </c>
      <c r="I121" s="5">
        <f>IF($E121="","",IFERROR(INDEX('DM_HinhThucKham'!$B$2:$B$3,AGGREGATE(15,6,ROW('DM_HinhThucKham'!$B$2:$B$3)-ROW('DM_HinhThucKham'!$B$2)+1/ISNUMBER(SEARCH(SUBSTITUTE(UPPER($E121)," ",""),'DM_HinhThucKham'!$C$2:$C$3)),1)),"Không tìm thấy"))</f>
        <v/>
      </c>
      <c r="P121" s="5">
        <f>IF($K121="","",IFERROR(INDEX('DM_DanToc'!$B$2:$B$78,AGGREGATE(15,6,ROW('DM_DanToc'!$B$2:$B$78)-ROW('DM_DanToc'!$B$2)+1/ISNUMBER(SEARCH(SUBSTITUTE(UPPER($K121)," ",""),'DM_DanToc'!$C$2:$C$78)),1)),"Không tìm thấy"))</f>
        <v/>
      </c>
      <c r="W121" s="5">
        <f>IF($Q121="","",IFERROR(INDEX('DM_TinhThanh'!$B$2:$B$35,AGGREGATE(15,6,ROW('DM_TinhThanh'!$B$2:$B$35)-ROW('DM_TinhThanh'!$B$2)+1/ISNUMBER(SEARCH(SUBSTITUTE(UPPER($Q121)," ",""),'DM_TinhThanh'!$C$2:$C$35)),1)),"Không tìm thấy"))</f>
        <v/>
      </c>
      <c r="Y121" s="5">
        <f>IF($R121="","",IFERROR(INDEX('DM_XaPhuong'!$B$2:$B$169,AGGREGATE(15,6,ROW('DM_XaPhuong'!$B$2:$B$169)-ROW('DM_XaPhuong'!$B$2)+1/ISNUMBER(SEARCH(SUBSTITUTE(UPPER($R121)," ",""),'DM_XaPhuong'!$C$2:$C$169)),1)),"Không tìm thấy"))</f>
        <v/>
      </c>
      <c r="AB121" s="5">
        <f>IF($T121="","",IFERROR(INDEX('DM_NgheNghiep'!$B$2:$B$11,AGGREGATE(15,6,ROW('DM_NgheNghiep'!$B$2:$B$11)-ROW('DM_NgheNghiep'!$B$2)+1/ISNUMBER(SEARCH(SUBSTITUTE(UPPER($T121)," ",""),'DM_NgheNghiep'!$C$2:$C$11)),1)),"Không tìm thấy"))</f>
        <v/>
      </c>
      <c r="AD121" s="5">
        <f>IF($U121="","",IFERROR(INDEX('DM_NoiCongTac'!$B$2:$B$11,AGGREGATE(15,6,ROW('DM_NoiCongTac'!$B$2:$B$11)-ROW('DM_NoiCongTac'!$B$2)+1/ISNUMBER(SEARCH(SUBSTITUTE(UPPER($U121)," ",""),'DM_NoiCongTac'!$C$2:$C$11)),1)),"Không tìm thấy"))</f>
        <v/>
      </c>
      <c r="AF121" s="5">
        <f>IF($V121="","",IFERROR(INDEX('DM_XaPhuong'!$B$2:$B$169,AGGREGATE(15,6,ROW('DM_XaPhuong'!$B$2:$B$169)-ROW('DM_XaPhuong'!$B$2)+1/ISNUMBER(SEARCH(SUBSTITUTE(UPPER($V121)," ",""),'DM_XaPhuong'!$C$2:$C$169)),1)),"Không tìm thấy"))</f>
        <v/>
      </c>
    </row>
    <row r="122">
      <c r="C122" s="5">
        <f>IF($B122="","",IFERROR(INDEX('DM_DoiTuong'!$B$2:$B$19,AGGREGATE(15,6,ROW('DM_DoiTuong'!$B$2:$B$19)-ROW('DM_DoiTuong'!$B$2)+1/ISNUMBER(SEARCH(SUBSTITUTE(UPPER($B122)," ",""),'DM_DoiTuong'!$C$2:$C$19)),1)),"Không tìm thấy"))</f>
        <v/>
      </c>
      <c r="E122" s="5">
        <f>IF($C122="","",IFERROR(INDEX('DM_DiaDiemKham'!$B$2:$B$6,AGGREGATE(15,6,ROW('DM_DiaDiemKham'!$B$2:$B$6)-ROW('DM_DiaDiemKham'!$B$2)+1/ISNUMBER(SEARCH(SUBSTITUTE(UPPER($C122)," ",""),'DM_DiaDiemKham'!$C$2:$C$6)),1)),"Không tìm thấy"))</f>
        <v/>
      </c>
      <c r="G122" s="5">
        <f>IF($D122="","",IFERROR(INDEX('DM_HinhThucChiTra'!$B$2:$B$5,AGGREGATE(15,6,ROW('DM_HinhThucChiTra'!$B$2:$B$5)-ROW('DM_HinhThucChiTra'!$B$2)+1/ISNUMBER(SEARCH(SUBSTITUTE(UPPER($D122)," ",""),'DM_HinhThucChiTra'!$C$2:$C$5)),1)),"Không tìm thấy"))</f>
        <v/>
      </c>
      <c r="I122" s="5">
        <f>IF($E122="","",IFERROR(INDEX('DM_HinhThucKham'!$B$2:$B$3,AGGREGATE(15,6,ROW('DM_HinhThucKham'!$B$2:$B$3)-ROW('DM_HinhThucKham'!$B$2)+1/ISNUMBER(SEARCH(SUBSTITUTE(UPPER($E122)," ",""),'DM_HinhThucKham'!$C$2:$C$3)),1)),"Không tìm thấy"))</f>
        <v/>
      </c>
      <c r="P122" s="5">
        <f>IF($K122="","",IFERROR(INDEX('DM_DanToc'!$B$2:$B$78,AGGREGATE(15,6,ROW('DM_DanToc'!$B$2:$B$78)-ROW('DM_DanToc'!$B$2)+1/ISNUMBER(SEARCH(SUBSTITUTE(UPPER($K122)," ",""),'DM_DanToc'!$C$2:$C$78)),1)),"Không tìm thấy"))</f>
        <v/>
      </c>
      <c r="W122" s="5">
        <f>IF($Q122="","",IFERROR(INDEX('DM_TinhThanh'!$B$2:$B$35,AGGREGATE(15,6,ROW('DM_TinhThanh'!$B$2:$B$35)-ROW('DM_TinhThanh'!$B$2)+1/ISNUMBER(SEARCH(SUBSTITUTE(UPPER($Q122)," ",""),'DM_TinhThanh'!$C$2:$C$35)),1)),"Không tìm thấy"))</f>
        <v/>
      </c>
      <c r="Y122" s="5">
        <f>IF($R122="","",IFERROR(INDEX('DM_XaPhuong'!$B$2:$B$169,AGGREGATE(15,6,ROW('DM_XaPhuong'!$B$2:$B$169)-ROW('DM_XaPhuong'!$B$2)+1/ISNUMBER(SEARCH(SUBSTITUTE(UPPER($R122)," ",""),'DM_XaPhuong'!$C$2:$C$169)),1)),"Không tìm thấy"))</f>
        <v/>
      </c>
      <c r="AB122" s="5">
        <f>IF($T122="","",IFERROR(INDEX('DM_NgheNghiep'!$B$2:$B$11,AGGREGATE(15,6,ROW('DM_NgheNghiep'!$B$2:$B$11)-ROW('DM_NgheNghiep'!$B$2)+1/ISNUMBER(SEARCH(SUBSTITUTE(UPPER($T122)," ",""),'DM_NgheNghiep'!$C$2:$C$11)),1)),"Không tìm thấy"))</f>
        <v/>
      </c>
      <c r="AD122" s="5">
        <f>IF($U122="","",IFERROR(INDEX('DM_NoiCongTac'!$B$2:$B$11,AGGREGATE(15,6,ROW('DM_NoiCongTac'!$B$2:$B$11)-ROW('DM_NoiCongTac'!$B$2)+1/ISNUMBER(SEARCH(SUBSTITUTE(UPPER($U122)," ",""),'DM_NoiCongTac'!$C$2:$C$11)),1)),"Không tìm thấy"))</f>
        <v/>
      </c>
      <c r="AF122" s="5">
        <f>IF($V122="","",IFERROR(INDEX('DM_XaPhuong'!$B$2:$B$169,AGGREGATE(15,6,ROW('DM_XaPhuong'!$B$2:$B$169)-ROW('DM_XaPhuong'!$B$2)+1/ISNUMBER(SEARCH(SUBSTITUTE(UPPER($V122)," ",""),'DM_XaPhuong'!$C$2:$C$169)),1)),"Không tìm thấy"))</f>
        <v/>
      </c>
    </row>
    <row r="123">
      <c r="C123" s="5">
        <f>IF($B123="","",IFERROR(INDEX('DM_DoiTuong'!$B$2:$B$19,AGGREGATE(15,6,ROW('DM_DoiTuong'!$B$2:$B$19)-ROW('DM_DoiTuong'!$B$2)+1/ISNUMBER(SEARCH(SUBSTITUTE(UPPER($B123)," ",""),'DM_DoiTuong'!$C$2:$C$19)),1)),"Không tìm thấy"))</f>
        <v/>
      </c>
      <c r="E123" s="5">
        <f>IF($C123="","",IFERROR(INDEX('DM_DiaDiemKham'!$B$2:$B$6,AGGREGATE(15,6,ROW('DM_DiaDiemKham'!$B$2:$B$6)-ROW('DM_DiaDiemKham'!$B$2)+1/ISNUMBER(SEARCH(SUBSTITUTE(UPPER($C123)," ",""),'DM_DiaDiemKham'!$C$2:$C$6)),1)),"Không tìm thấy"))</f>
        <v/>
      </c>
      <c r="G123" s="5">
        <f>IF($D123="","",IFERROR(INDEX('DM_HinhThucChiTra'!$B$2:$B$5,AGGREGATE(15,6,ROW('DM_HinhThucChiTra'!$B$2:$B$5)-ROW('DM_HinhThucChiTra'!$B$2)+1/ISNUMBER(SEARCH(SUBSTITUTE(UPPER($D123)," ",""),'DM_HinhThucChiTra'!$C$2:$C$5)),1)),"Không tìm thấy"))</f>
        <v/>
      </c>
      <c r="I123" s="5">
        <f>IF($E123="","",IFERROR(INDEX('DM_HinhThucKham'!$B$2:$B$3,AGGREGATE(15,6,ROW('DM_HinhThucKham'!$B$2:$B$3)-ROW('DM_HinhThucKham'!$B$2)+1/ISNUMBER(SEARCH(SUBSTITUTE(UPPER($E123)," ",""),'DM_HinhThucKham'!$C$2:$C$3)),1)),"Không tìm thấy"))</f>
        <v/>
      </c>
      <c r="P123" s="5">
        <f>IF($K123="","",IFERROR(INDEX('DM_DanToc'!$B$2:$B$78,AGGREGATE(15,6,ROW('DM_DanToc'!$B$2:$B$78)-ROW('DM_DanToc'!$B$2)+1/ISNUMBER(SEARCH(SUBSTITUTE(UPPER($K123)," ",""),'DM_DanToc'!$C$2:$C$78)),1)),"Không tìm thấy"))</f>
        <v/>
      </c>
      <c r="W123" s="5">
        <f>IF($Q123="","",IFERROR(INDEX('DM_TinhThanh'!$B$2:$B$35,AGGREGATE(15,6,ROW('DM_TinhThanh'!$B$2:$B$35)-ROW('DM_TinhThanh'!$B$2)+1/ISNUMBER(SEARCH(SUBSTITUTE(UPPER($Q123)," ",""),'DM_TinhThanh'!$C$2:$C$35)),1)),"Không tìm thấy"))</f>
        <v/>
      </c>
      <c r="Y123" s="5">
        <f>IF($R123="","",IFERROR(INDEX('DM_XaPhuong'!$B$2:$B$169,AGGREGATE(15,6,ROW('DM_XaPhuong'!$B$2:$B$169)-ROW('DM_XaPhuong'!$B$2)+1/ISNUMBER(SEARCH(SUBSTITUTE(UPPER($R123)," ",""),'DM_XaPhuong'!$C$2:$C$169)),1)),"Không tìm thấy"))</f>
        <v/>
      </c>
      <c r="AB123" s="5">
        <f>IF($T123="","",IFERROR(INDEX('DM_NgheNghiep'!$B$2:$B$11,AGGREGATE(15,6,ROW('DM_NgheNghiep'!$B$2:$B$11)-ROW('DM_NgheNghiep'!$B$2)+1/ISNUMBER(SEARCH(SUBSTITUTE(UPPER($T123)," ",""),'DM_NgheNghiep'!$C$2:$C$11)),1)),"Không tìm thấy"))</f>
        <v/>
      </c>
      <c r="AD123" s="5">
        <f>IF($U123="","",IFERROR(INDEX('DM_NoiCongTac'!$B$2:$B$11,AGGREGATE(15,6,ROW('DM_NoiCongTac'!$B$2:$B$11)-ROW('DM_NoiCongTac'!$B$2)+1/ISNUMBER(SEARCH(SUBSTITUTE(UPPER($U123)," ",""),'DM_NoiCongTac'!$C$2:$C$11)),1)),"Không tìm thấy"))</f>
        <v/>
      </c>
      <c r="AF123" s="5">
        <f>IF($V123="","",IFERROR(INDEX('DM_XaPhuong'!$B$2:$B$169,AGGREGATE(15,6,ROW('DM_XaPhuong'!$B$2:$B$169)-ROW('DM_XaPhuong'!$B$2)+1/ISNUMBER(SEARCH(SUBSTITUTE(UPPER($V123)," ",""),'DM_XaPhuong'!$C$2:$C$169)),1)),"Không tìm thấy"))</f>
        <v/>
      </c>
    </row>
    <row r="124">
      <c r="C124" s="5">
        <f>IF($B124="","",IFERROR(INDEX('DM_DoiTuong'!$B$2:$B$19,AGGREGATE(15,6,ROW('DM_DoiTuong'!$B$2:$B$19)-ROW('DM_DoiTuong'!$B$2)+1/ISNUMBER(SEARCH(SUBSTITUTE(UPPER($B124)," ",""),'DM_DoiTuong'!$C$2:$C$19)),1)),"Không tìm thấy"))</f>
        <v/>
      </c>
      <c r="E124" s="5">
        <f>IF($C124="","",IFERROR(INDEX('DM_DiaDiemKham'!$B$2:$B$6,AGGREGATE(15,6,ROW('DM_DiaDiemKham'!$B$2:$B$6)-ROW('DM_DiaDiemKham'!$B$2)+1/ISNUMBER(SEARCH(SUBSTITUTE(UPPER($C124)," ",""),'DM_DiaDiemKham'!$C$2:$C$6)),1)),"Không tìm thấy"))</f>
        <v/>
      </c>
      <c r="G124" s="5">
        <f>IF($D124="","",IFERROR(INDEX('DM_HinhThucChiTra'!$B$2:$B$5,AGGREGATE(15,6,ROW('DM_HinhThucChiTra'!$B$2:$B$5)-ROW('DM_HinhThucChiTra'!$B$2)+1/ISNUMBER(SEARCH(SUBSTITUTE(UPPER($D124)," ",""),'DM_HinhThucChiTra'!$C$2:$C$5)),1)),"Không tìm thấy"))</f>
        <v/>
      </c>
      <c r="I124" s="5">
        <f>IF($E124="","",IFERROR(INDEX('DM_HinhThucKham'!$B$2:$B$3,AGGREGATE(15,6,ROW('DM_HinhThucKham'!$B$2:$B$3)-ROW('DM_HinhThucKham'!$B$2)+1/ISNUMBER(SEARCH(SUBSTITUTE(UPPER($E124)," ",""),'DM_HinhThucKham'!$C$2:$C$3)),1)),"Không tìm thấy"))</f>
        <v/>
      </c>
      <c r="P124" s="5">
        <f>IF($K124="","",IFERROR(INDEX('DM_DanToc'!$B$2:$B$78,AGGREGATE(15,6,ROW('DM_DanToc'!$B$2:$B$78)-ROW('DM_DanToc'!$B$2)+1/ISNUMBER(SEARCH(SUBSTITUTE(UPPER($K124)," ",""),'DM_DanToc'!$C$2:$C$78)),1)),"Không tìm thấy"))</f>
        <v/>
      </c>
      <c r="W124" s="5">
        <f>IF($Q124="","",IFERROR(INDEX('DM_TinhThanh'!$B$2:$B$35,AGGREGATE(15,6,ROW('DM_TinhThanh'!$B$2:$B$35)-ROW('DM_TinhThanh'!$B$2)+1/ISNUMBER(SEARCH(SUBSTITUTE(UPPER($Q124)," ",""),'DM_TinhThanh'!$C$2:$C$35)),1)),"Không tìm thấy"))</f>
        <v/>
      </c>
      <c r="Y124" s="5">
        <f>IF($R124="","",IFERROR(INDEX('DM_XaPhuong'!$B$2:$B$169,AGGREGATE(15,6,ROW('DM_XaPhuong'!$B$2:$B$169)-ROW('DM_XaPhuong'!$B$2)+1/ISNUMBER(SEARCH(SUBSTITUTE(UPPER($R124)," ",""),'DM_XaPhuong'!$C$2:$C$169)),1)),"Không tìm thấy"))</f>
        <v/>
      </c>
      <c r="AB124" s="5">
        <f>IF($T124="","",IFERROR(INDEX('DM_NgheNghiep'!$B$2:$B$11,AGGREGATE(15,6,ROW('DM_NgheNghiep'!$B$2:$B$11)-ROW('DM_NgheNghiep'!$B$2)+1/ISNUMBER(SEARCH(SUBSTITUTE(UPPER($T124)," ",""),'DM_NgheNghiep'!$C$2:$C$11)),1)),"Không tìm thấy"))</f>
        <v/>
      </c>
      <c r="AD124" s="5">
        <f>IF($U124="","",IFERROR(INDEX('DM_NoiCongTac'!$B$2:$B$11,AGGREGATE(15,6,ROW('DM_NoiCongTac'!$B$2:$B$11)-ROW('DM_NoiCongTac'!$B$2)+1/ISNUMBER(SEARCH(SUBSTITUTE(UPPER($U124)," ",""),'DM_NoiCongTac'!$C$2:$C$11)),1)),"Không tìm thấy"))</f>
        <v/>
      </c>
      <c r="AF124" s="5">
        <f>IF($V124="","",IFERROR(INDEX('DM_XaPhuong'!$B$2:$B$169,AGGREGATE(15,6,ROW('DM_XaPhuong'!$B$2:$B$169)-ROW('DM_XaPhuong'!$B$2)+1/ISNUMBER(SEARCH(SUBSTITUTE(UPPER($V124)," ",""),'DM_XaPhuong'!$C$2:$C$169)),1)),"Không tìm thấy"))</f>
        <v/>
      </c>
    </row>
    <row r="125">
      <c r="C125" s="5">
        <f>IF($B125="","",IFERROR(INDEX('DM_DoiTuong'!$B$2:$B$19,AGGREGATE(15,6,ROW('DM_DoiTuong'!$B$2:$B$19)-ROW('DM_DoiTuong'!$B$2)+1/ISNUMBER(SEARCH(SUBSTITUTE(UPPER($B125)," ",""),'DM_DoiTuong'!$C$2:$C$19)),1)),"Không tìm thấy"))</f>
        <v/>
      </c>
      <c r="E125" s="5">
        <f>IF($C125="","",IFERROR(INDEX('DM_DiaDiemKham'!$B$2:$B$6,AGGREGATE(15,6,ROW('DM_DiaDiemKham'!$B$2:$B$6)-ROW('DM_DiaDiemKham'!$B$2)+1/ISNUMBER(SEARCH(SUBSTITUTE(UPPER($C125)," ",""),'DM_DiaDiemKham'!$C$2:$C$6)),1)),"Không tìm thấy"))</f>
        <v/>
      </c>
      <c r="G125" s="5">
        <f>IF($D125="","",IFERROR(INDEX('DM_HinhThucChiTra'!$B$2:$B$5,AGGREGATE(15,6,ROW('DM_HinhThucChiTra'!$B$2:$B$5)-ROW('DM_HinhThucChiTra'!$B$2)+1/ISNUMBER(SEARCH(SUBSTITUTE(UPPER($D125)," ",""),'DM_HinhThucChiTra'!$C$2:$C$5)),1)),"Không tìm thấy"))</f>
        <v/>
      </c>
      <c r="I125" s="5">
        <f>IF($E125="","",IFERROR(INDEX('DM_HinhThucKham'!$B$2:$B$3,AGGREGATE(15,6,ROW('DM_HinhThucKham'!$B$2:$B$3)-ROW('DM_HinhThucKham'!$B$2)+1/ISNUMBER(SEARCH(SUBSTITUTE(UPPER($E125)," ",""),'DM_HinhThucKham'!$C$2:$C$3)),1)),"Không tìm thấy"))</f>
        <v/>
      </c>
      <c r="P125" s="5">
        <f>IF($K125="","",IFERROR(INDEX('DM_DanToc'!$B$2:$B$78,AGGREGATE(15,6,ROW('DM_DanToc'!$B$2:$B$78)-ROW('DM_DanToc'!$B$2)+1/ISNUMBER(SEARCH(SUBSTITUTE(UPPER($K125)," ",""),'DM_DanToc'!$C$2:$C$78)),1)),"Không tìm thấy"))</f>
        <v/>
      </c>
      <c r="W125" s="5">
        <f>IF($Q125="","",IFERROR(INDEX('DM_TinhThanh'!$B$2:$B$35,AGGREGATE(15,6,ROW('DM_TinhThanh'!$B$2:$B$35)-ROW('DM_TinhThanh'!$B$2)+1/ISNUMBER(SEARCH(SUBSTITUTE(UPPER($Q125)," ",""),'DM_TinhThanh'!$C$2:$C$35)),1)),"Không tìm thấy"))</f>
        <v/>
      </c>
      <c r="Y125" s="5">
        <f>IF($R125="","",IFERROR(INDEX('DM_XaPhuong'!$B$2:$B$169,AGGREGATE(15,6,ROW('DM_XaPhuong'!$B$2:$B$169)-ROW('DM_XaPhuong'!$B$2)+1/ISNUMBER(SEARCH(SUBSTITUTE(UPPER($R125)," ",""),'DM_XaPhuong'!$C$2:$C$169)),1)),"Không tìm thấy"))</f>
        <v/>
      </c>
      <c r="AB125" s="5">
        <f>IF($T125="","",IFERROR(INDEX('DM_NgheNghiep'!$B$2:$B$11,AGGREGATE(15,6,ROW('DM_NgheNghiep'!$B$2:$B$11)-ROW('DM_NgheNghiep'!$B$2)+1/ISNUMBER(SEARCH(SUBSTITUTE(UPPER($T125)," ",""),'DM_NgheNghiep'!$C$2:$C$11)),1)),"Không tìm thấy"))</f>
        <v/>
      </c>
      <c r="AD125" s="5">
        <f>IF($U125="","",IFERROR(INDEX('DM_NoiCongTac'!$B$2:$B$11,AGGREGATE(15,6,ROW('DM_NoiCongTac'!$B$2:$B$11)-ROW('DM_NoiCongTac'!$B$2)+1/ISNUMBER(SEARCH(SUBSTITUTE(UPPER($U125)," ",""),'DM_NoiCongTac'!$C$2:$C$11)),1)),"Không tìm thấy"))</f>
        <v/>
      </c>
      <c r="AF125" s="5">
        <f>IF($V125="","",IFERROR(INDEX('DM_XaPhuong'!$B$2:$B$169,AGGREGATE(15,6,ROW('DM_XaPhuong'!$B$2:$B$169)-ROW('DM_XaPhuong'!$B$2)+1/ISNUMBER(SEARCH(SUBSTITUTE(UPPER($V125)," ",""),'DM_XaPhuong'!$C$2:$C$169)),1)),"Không tìm thấy"))</f>
        <v/>
      </c>
    </row>
    <row r="126">
      <c r="C126" s="5">
        <f>IF($B126="","",IFERROR(INDEX('DM_DoiTuong'!$B$2:$B$19,AGGREGATE(15,6,ROW('DM_DoiTuong'!$B$2:$B$19)-ROW('DM_DoiTuong'!$B$2)+1/ISNUMBER(SEARCH(SUBSTITUTE(UPPER($B126)," ",""),'DM_DoiTuong'!$C$2:$C$19)),1)),"Không tìm thấy"))</f>
        <v/>
      </c>
      <c r="E126" s="5">
        <f>IF($C126="","",IFERROR(INDEX('DM_DiaDiemKham'!$B$2:$B$6,AGGREGATE(15,6,ROW('DM_DiaDiemKham'!$B$2:$B$6)-ROW('DM_DiaDiemKham'!$B$2)+1/ISNUMBER(SEARCH(SUBSTITUTE(UPPER($C126)," ",""),'DM_DiaDiemKham'!$C$2:$C$6)),1)),"Không tìm thấy"))</f>
        <v/>
      </c>
      <c r="G126" s="5">
        <f>IF($D126="","",IFERROR(INDEX('DM_HinhThucChiTra'!$B$2:$B$5,AGGREGATE(15,6,ROW('DM_HinhThucChiTra'!$B$2:$B$5)-ROW('DM_HinhThucChiTra'!$B$2)+1/ISNUMBER(SEARCH(SUBSTITUTE(UPPER($D126)," ",""),'DM_HinhThucChiTra'!$C$2:$C$5)),1)),"Không tìm thấy"))</f>
        <v/>
      </c>
      <c r="I126" s="5">
        <f>IF($E126="","",IFERROR(INDEX('DM_HinhThucKham'!$B$2:$B$3,AGGREGATE(15,6,ROW('DM_HinhThucKham'!$B$2:$B$3)-ROW('DM_HinhThucKham'!$B$2)+1/ISNUMBER(SEARCH(SUBSTITUTE(UPPER($E126)," ",""),'DM_HinhThucKham'!$C$2:$C$3)),1)),"Không tìm thấy"))</f>
        <v/>
      </c>
      <c r="P126" s="5">
        <f>IF($K126="","",IFERROR(INDEX('DM_DanToc'!$B$2:$B$78,AGGREGATE(15,6,ROW('DM_DanToc'!$B$2:$B$78)-ROW('DM_DanToc'!$B$2)+1/ISNUMBER(SEARCH(SUBSTITUTE(UPPER($K126)," ",""),'DM_DanToc'!$C$2:$C$78)),1)),"Không tìm thấy"))</f>
        <v/>
      </c>
      <c r="W126" s="5">
        <f>IF($Q126="","",IFERROR(INDEX('DM_TinhThanh'!$B$2:$B$35,AGGREGATE(15,6,ROW('DM_TinhThanh'!$B$2:$B$35)-ROW('DM_TinhThanh'!$B$2)+1/ISNUMBER(SEARCH(SUBSTITUTE(UPPER($Q126)," ",""),'DM_TinhThanh'!$C$2:$C$35)),1)),"Không tìm thấy"))</f>
        <v/>
      </c>
      <c r="Y126" s="5">
        <f>IF($R126="","",IFERROR(INDEX('DM_XaPhuong'!$B$2:$B$169,AGGREGATE(15,6,ROW('DM_XaPhuong'!$B$2:$B$169)-ROW('DM_XaPhuong'!$B$2)+1/ISNUMBER(SEARCH(SUBSTITUTE(UPPER($R126)," ",""),'DM_XaPhuong'!$C$2:$C$169)),1)),"Không tìm thấy"))</f>
        <v/>
      </c>
      <c r="AB126" s="5">
        <f>IF($T126="","",IFERROR(INDEX('DM_NgheNghiep'!$B$2:$B$11,AGGREGATE(15,6,ROW('DM_NgheNghiep'!$B$2:$B$11)-ROW('DM_NgheNghiep'!$B$2)+1/ISNUMBER(SEARCH(SUBSTITUTE(UPPER($T126)," ",""),'DM_NgheNghiep'!$C$2:$C$11)),1)),"Không tìm thấy"))</f>
        <v/>
      </c>
      <c r="AD126" s="5">
        <f>IF($U126="","",IFERROR(INDEX('DM_NoiCongTac'!$B$2:$B$11,AGGREGATE(15,6,ROW('DM_NoiCongTac'!$B$2:$B$11)-ROW('DM_NoiCongTac'!$B$2)+1/ISNUMBER(SEARCH(SUBSTITUTE(UPPER($U126)," ",""),'DM_NoiCongTac'!$C$2:$C$11)),1)),"Không tìm thấy"))</f>
        <v/>
      </c>
      <c r="AF126" s="5">
        <f>IF($V126="","",IFERROR(INDEX('DM_XaPhuong'!$B$2:$B$169,AGGREGATE(15,6,ROW('DM_XaPhuong'!$B$2:$B$169)-ROW('DM_XaPhuong'!$B$2)+1/ISNUMBER(SEARCH(SUBSTITUTE(UPPER($V126)," ",""),'DM_XaPhuong'!$C$2:$C$169)),1)),"Không tìm thấy"))</f>
        <v/>
      </c>
    </row>
    <row r="127">
      <c r="C127" s="5">
        <f>IF($B127="","",IFERROR(INDEX('DM_DoiTuong'!$B$2:$B$19,AGGREGATE(15,6,ROW('DM_DoiTuong'!$B$2:$B$19)-ROW('DM_DoiTuong'!$B$2)+1/ISNUMBER(SEARCH(SUBSTITUTE(UPPER($B127)," ",""),'DM_DoiTuong'!$C$2:$C$19)),1)),"Không tìm thấy"))</f>
        <v/>
      </c>
      <c r="E127" s="5">
        <f>IF($C127="","",IFERROR(INDEX('DM_DiaDiemKham'!$B$2:$B$6,AGGREGATE(15,6,ROW('DM_DiaDiemKham'!$B$2:$B$6)-ROW('DM_DiaDiemKham'!$B$2)+1/ISNUMBER(SEARCH(SUBSTITUTE(UPPER($C127)," ",""),'DM_DiaDiemKham'!$C$2:$C$6)),1)),"Không tìm thấy"))</f>
        <v/>
      </c>
      <c r="G127" s="5">
        <f>IF($D127="","",IFERROR(INDEX('DM_HinhThucChiTra'!$B$2:$B$5,AGGREGATE(15,6,ROW('DM_HinhThucChiTra'!$B$2:$B$5)-ROW('DM_HinhThucChiTra'!$B$2)+1/ISNUMBER(SEARCH(SUBSTITUTE(UPPER($D127)," ",""),'DM_HinhThucChiTra'!$C$2:$C$5)),1)),"Không tìm thấy"))</f>
        <v/>
      </c>
      <c r="I127" s="5">
        <f>IF($E127="","",IFERROR(INDEX('DM_HinhThucKham'!$B$2:$B$3,AGGREGATE(15,6,ROW('DM_HinhThucKham'!$B$2:$B$3)-ROW('DM_HinhThucKham'!$B$2)+1/ISNUMBER(SEARCH(SUBSTITUTE(UPPER($E127)," ",""),'DM_HinhThucKham'!$C$2:$C$3)),1)),"Không tìm thấy"))</f>
        <v/>
      </c>
      <c r="P127" s="5">
        <f>IF($K127="","",IFERROR(INDEX('DM_DanToc'!$B$2:$B$78,AGGREGATE(15,6,ROW('DM_DanToc'!$B$2:$B$78)-ROW('DM_DanToc'!$B$2)+1/ISNUMBER(SEARCH(SUBSTITUTE(UPPER($K127)," ",""),'DM_DanToc'!$C$2:$C$78)),1)),"Không tìm thấy"))</f>
        <v/>
      </c>
      <c r="W127" s="5">
        <f>IF($Q127="","",IFERROR(INDEX('DM_TinhThanh'!$B$2:$B$35,AGGREGATE(15,6,ROW('DM_TinhThanh'!$B$2:$B$35)-ROW('DM_TinhThanh'!$B$2)+1/ISNUMBER(SEARCH(SUBSTITUTE(UPPER($Q127)," ",""),'DM_TinhThanh'!$C$2:$C$35)),1)),"Không tìm thấy"))</f>
        <v/>
      </c>
      <c r="Y127" s="5">
        <f>IF($R127="","",IFERROR(INDEX('DM_XaPhuong'!$B$2:$B$169,AGGREGATE(15,6,ROW('DM_XaPhuong'!$B$2:$B$169)-ROW('DM_XaPhuong'!$B$2)+1/ISNUMBER(SEARCH(SUBSTITUTE(UPPER($R127)," ",""),'DM_XaPhuong'!$C$2:$C$169)),1)),"Không tìm thấy"))</f>
        <v/>
      </c>
      <c r="AB127" s="5">
        <f>IF($T127="","",IFERROR(INDEX('DM_NgheNghiep'!$B$2:$B$11,AGGREGATE(15,6,ROW('DM_NgheNghiep'!$B$2:$B$11)-ROW('DM_NgheNghiep'!$B$2)+1/ISNUMBER(SEARCH(SUBSTITUTE(UPPER($T127)," ",""),'DM_NgheNghiep'!$C$2:$C$11)),1)),"Không tìm thấy"))</f>
        <v/>
      </c>
      <c r="AD127" s="5">
        <f>IF($U127="","",IFERROR(INDEX('DM_NoiCongTac'!$B$2:$B$11,AGGREGATE(15,6,ROW('DM_NoiCongTac'!$B$2:$B$11)-ROW('DM_NoiCongTac'!$B$2)+1/ISNUMBER(SEARCH(SUBSTITUTE(UPPER($U127)," ",""),'DM_NoiCongTac'!$C$2:$C$11)),1)),"Không tìm thấy"))</f>
        <v/>
      </c>
      <c r="AF127" s="5">
        <f>IF($V127="","",IFERROR(INDEX('DM_XaPhuong'!$B$2:$B$169,AGGREGATE(15,6,ROW('DM_XaPhuong'!$B$2:$B$169)-ROW('DM_XaPhuong'!$B$2)+1/ISNUMBER(SEARCH(SUBSTITUTE(UPPER($V127)," ",""),'DM_XaPhuong'!$C$2:$C$169)),1)),"Không tìm thấy"))</f>
        <v/>
      </c>
    </row>
    <row r="128">
      <c r="C128" s="5">
        <f>IF($B128="","",IFERROR(INDEX('DM_DoiTuong'!$B$2:$B$19,AGGREGATE(15,6,ROW('DM_DoiTuong'!$B$2:$B$19)-ROW('DM_DoiTuong'!$B$2)+1/ISNUMBER(SEARCH(SUBSTITUTE(UPPER($B128)," ",""),'DM_DoiTuong'!$C$2:$C$19)),1)),"Không tìm thấy"))</f>
        <v/>
      </c>
      <c r="E128" s="5">
        <f>IF($C128="","",IFERROR(INDEX('DM_DiaDiemKham'!$B$2:$B$6,AGGREGATE(15,6,ROW('DM_DiaDiemKham'!$B$2:$B$6)-ROW('DM_DiaDiemKham'!$B$2)+1/ISNUMBER(SEARCH(SUBSTITUTE(UPPER($C128)," ",""),'DM_DiaDiemKham'!$C$2:$C$6)),1)),"Không tìm thấy"))</f>
        <v/>
      </c>
      <c r="G128" s="5">
        <f>IF($D128="","",IFERROR(INDEX('DM_HinhThucChiTra'!$B$2:$B$5,AGGREGATE(15,6,ROW('DM_HinhThucChiTra'!$B$2:$B$5)-ROW('DM_HinhThucChiTra'!$B$2)+1/ISNUMBER(SEARCH(SUBSTITUTE(UPPER($D128)," ",""),'DM_HinhThucChiTra'!$C$2:$C$5)),1)),"Không tìm thấy"))</f>
        <v/>
      </c>
      <c r="I128" s="5">
        <f>IF($E128="","",IFERROR(INDEX('DM_HinhThucKham'!$B$2:$B$3,AGGREGATE(15,6,ROW('DM_HinhThucKham'!$B$2:$B$3)-ROW('DM_HinhThucKham'!$B$2)+1/ISNUMBER(SEARCH(SUBSTITUTE(UPPER($E128)," ",""),'DM_HinhThucKham'!$C$2:$C$3)),1)),"Không tìm thấy"))</f>
        <v/>
      </c>
      <c r="P128" s="5">
        <f>IF($K128="","",IFERROR(INDEX('DM_DanToc'!$B$2:$B$78,AGGREGATE(15,6,ROW('DM_DanToc'!$B$2:$B$78)-ROW('DM_DanToc'!$B$2)+1/ISNUMBER(SEARCH(SUBSTITUTE(UPPER($K128)," ",""),'DM_DanToc'!$C$2:$C$78)),1)),"Không tìm thấy"))</f>
        <v/>
      </c>
      <c r="W128" s="5">
        <f>IF($Q128="","",IFERROR(INDEX('DM_TinhThanh'!$B$2:$B$35,AGGREGATE(15,6,ROW('DM_TinhThanh'!$B$2:$B$35)-ROW('DM_TinhThanh'!$B$2)+1/ISNUMBER(SEARCH(SUBSTITUTE(UPPER($Q128)," ",""),'DM_TinhThanh'!$C$2:$C$35)),1)),"Không tìm thấy"))</f>
        <v/>
      </c>
      <c r="Y128" s="5">
        <f>IF($R128="","",IFERROR(INDEX('DM_XaPhuong'!$B$2:$B$169,AGGREGATE(15,6,ROW('DM_XaPhuong'!$B$2:$B$169)-ROW('DM_XaPhuong'!$B$2)+1/ISNUMBER(SEARCH(SUBSTITUTE(UPPER($R128)," ",""),'DM_XaPhuong'!$C$2:$C$169)),1)),"Không tìm thấy"))</f>
        <v/>
      </c>
      <c r="AB128" s="5">
        <f>IF($T128="","",IFERROR(INDEX('DM_NgheNghiep'!$B$2:$B$11,AGGREGATE(15,6,ROW('DM_NgheNghiep'!$B$2:$B$11)-ROW('DM_NgheNghiep'!$B$2)+1/ISNUMBER(SEARCH(SUBSTITUTE(UPPER($T128)," ",""),'DM_NgheNghiep'!$C$2:$C$11)),1)),"Không tìm thấy"))</f>
        <v/>
      </c>
      <c r="AD128" s="5">
        <f>IF($U128="","",IFERROR(INDEX('DM_NoiCongTac'!$B$2:$B$11,AGGREGATE(15,6,ROW('DM_NoiCongTac'!$B$2:$B$11)-ROW('DM_NoiCongTac'!$B$2)+1/ISNUMBER(SEARCH(SUBSTITUTE(UPPER($U128)," ",""),'DM_NoiCongTac'!$C$2:$C$11)),1)),"Không tìm thấy"))</f>
        <v/>
      </c>
      <c r="AF128" s="5">
        <f>IF($V128="","",IFERROR(INDEX('DM_XaPhuong'!$B$2:$B$169,AGGREGATE(15,6,ROW('DM_XaPhuong'!$B$2:$B$169)-ROW('DM_XaPhuong'!$B$2)+1/ISNUMBER(SEARCH(SUBSTITUTE(UPPER($V128)," ",""),'DM_XaPhuong'!$C$2:$C$169)),1)),"Không tìm thấy"))</f>
        <v/>
      </c>
    </row>
    <row r="129">
      <c r="C129" s="5">
        <f>IF($B129="","",IFERROR(INDEX('DM_DoiTuong'!$B$2:$B$19,AGGREGATE(15,6,ROW('DM_DoiTuong'!$B$2:$B$19)-ROW('DM_DoiTuong'!$B$2)+1/ISNUMBER(SEARCH(SUBSTITUTE(UPPER($B129)," ",""),'DM_DoiTuong'!$C$2:$C$19)),1)),"Không tìm thấy"))</f>
        <v/>
      </c>
      <c r="E129" s="5">
        <f>IF($C129="","",IFERROR(INDEX('DM_DiaDiemKham'!$B$2:$B$6,AGGREGATE(15,6,ROW('DM_DiaDiemKham'!$B$2:$B$6)-ROW('DM_DiaDiemKham'!$B$2)+1/ISNUMBER(SEARCH(SUBSTITUTE(UPPER($C129)," ",""),'DM_DiaDiemKham'!$C$2:$C$6)),1)),"Không tìm thấy"))</f>
        <v/>
      </c>
      <c r="G129" s="5">
        <f>IF($D129="","",IFERROR(INDEX('DM_HinhThucChiTra'!$B$2:$B$5,AGGREGATE(15,6,ROW('DM_HinhThucChiTra'!$B$2:$B$5)-ROW('DM_HinhThucChiTra'!$B$2)+1/ISNUMBER(SEARCH(SUBSTITUTE(UPPER($D129)," ",""),'DM_HinhThucChiTra'!$C$2:$C$5)),1)),"Không tìm thấy"))</f>
        <v/>
      </c>
      <c r="I129" s="5">
        <f>IF($E129="","",IFERROR(INDEX('DM_HinhThucKham'!$B$2:$B$3,AGGREGATE(15,6,ROW('DM_HinhThucKham'!$B$2:$B$3)-ROW('DM_HinhThucKham'!$B$2)+1/ISNUMBER(SEARCH(SUBSTITUTE(UPPER($E129)," ",""),'DM_HinhThucKham'!$C$2:$C$3)),1)),"Không tìm thấy"))</f>
        <v/>
      </c>
      <c r="P129" s="5">
        <f>IF($K129="","",IFERROR(INDEX('DM_DanToc'!$B$2:$B$78,AGGREGATE(15,6,ROW('DM_DanToc'!$B$2:$B$78)-ROW('DM_DanToc'!$B$2)+1/ISNUMBER(SEARCH(SUBSTITUTE(UPPER($K129)," ",""),'DM_DanToc'!$C$2:$C$78)),1)),"Không tìm thấy"))</f>
        <v/>
      </c>
      <c r="W129" s="5">
        <f>IF($Q129="","",IFERROR(INDEX('DM_TinhThanh'!$B$2:$B$35,AGGREGATE(15,6,ROW('DM_TinhThanh'!$B$2:$B$35)-ROW('DM_TinhThanh'!$B$2)+1/ISNUMBER(SEARCH(SUBSTITUTE(UPPER($Q129)," ",""),'DM_TinhThanh'!$C$2:$C$35)),1)),"Không tìm thấy"))</f>
        <v/>
      </c>
      <c r="Y129" s="5">
        <f>IF($R129="","",IFERROR(INDEX('DM_XaPhuong'!$B$2:$B$169,AGGREGATE(15,6,ROW('DM_XaPhuong'!$B$2:$B$169)-ROW('DM_XaPhuong'!$B$2)+1/ISNUMBER(SEARCH(SUBSTITUTE(UPPER($R129)," ",""),'DM_XaPhuong'!$C$2:$C$169)),1)),"Không tìm thấy"))</f>
        <v/>
      </c>
      <c r="AB129" s="5">
        <f>IF($T129="","",IFERROR(INDEX('DM_NgheNghiep'!$B$2:$B$11,AGGREGATE(15,6,ROW('DM_NgheNghiep'!$B$2:$B$11)-ROW('DM_NgheNghiep'!$B$2)+1/ISNUMBER(SEARCH(SUBSTITUTE(UPPER($T129)," ",""),'DM_NgheNghiep'!$C$2:$C$11)),1)),"Không tìm thấy"))</f>
        <v/>
      </c>
      <c r="AD129" s="5">
        <f>IF($U129="","",IFERROR(INDEX('DM_NoiCongTac'!$B$2:$B$11,AGGREGATE(15,6,ROW('DM_NoiCongTac'!$B$2:$B$11)-ROW('DM_NoiCongTac'!$B$2)+1/ISNUMBER(SEARCH(SUBSTITUTE(UPPER($U129)," ",""),'DM_NoiCongTac'!$C$2:$C$11)),1)),"Không tìm thấy"))</f>
        <v/>
      </c>
      <c r="AF129" s="5">
        <f>IF($V129="","",IFERROR(INDEX('DM_XaPhuong'!$B$2:$B$169,AGGREGATE(15,6,ROW('DM_XaPhuong'!$B$2:$B$169)-ROW('DM_XaPhuong'!$B$2)+1/ISNUMBER(SEARCH(SUBSTITUTE(UPPER($V129)," ",""),'DM_XaPhuong'!$C$2:$C$169)),1)),"Không tìm thấy"))</f>
        <v/>
      </c>
    </row>
    <row r="130">
      <c r="C130" s="5">
        <f>IF($B130="","",IFERROR(INDEX('DM_DoiTuong'!$B$2:$B$19,AGGREGATE(15,6,ROW('DM_DoiTuong'!$B$2:$B$19)-ROW('DM_DoiTuong'!$B$2)+1/ISNUMBER(SEARCH(SUBSTITUTE(UPPER($B130)," ",""),'DM_DoiTuong'!$C$2:$C$19)),1)),"Không tìm thấy"))</f>
        <v/>
      </c>
      <c r="E130" s="5">
        <f>IF($C130="","",IFERROR(INDEX('DM_DiaDiemKham'!$B$2:$B$6,AGGREGATE(15,6,ROW('DM_DiaDiemKham'!$B$2:$B$6)-ROW('DM_DiaDiemKham'!$B$2)+1/ISNUMBER(SEARCH(SUBSTITUTE(UPPER($C130)," ",""),'DM_DiaDiemKham'!$C$2:$C$6)),1)),"Không tìm thấy"))</f>
        <v/>
      </c>
      <c r="G130" s="5">
        <f>IF($D130="","",IFERROR(INDEX('DM_HinhThucChiTra'!$B$2:$B$5,AGGREGATE(15,6,ROW('DM_HinhThucChiTra'!$B$2:$B$5)-ROW('DM_HinhThucChiTra'!$B$2)+1/ISNUMBER(SEARCH(SUBSTITUTE(UPPER($D130)," ",""),'DM_HinhThucChiTra'!$C$2:$C$5)),1)),"Không tìm thấy"))</f>
        <v/>
      </c>
      <c r="I130" s="5">
        <f>IF($E130="","",IFERROR(INDEX('DM_HinhThucKham'!$B$2:$B$3,AGGREGATE(15,6,ROW('DM_HinhThucKham'!$B$2:$B$3)-ROW('DM_HinhThucKham'!$B$2)+1/ISNUMBER(SEARCH(SUBSTITUTE(UPPER($E130)," ",""),'DM_HinhThucKham'!$C$2:$C$3)),1)),"Không tìm thấy"))</f>
        <v/>
      </c>
      <c r="P130" s="5">
        <f>IF($K130="","",IFERROR(INDEX('DM_DanToc'!$B$2:$B$78,AGGREGATE(15,6,ROW('DM_DanToc'!$B$2:$B$78)-ROW('DM_DanToc'!$B$2)+1/ISNUMBER(SEARCH(SUBSTITUTE(UPPER($K130)," ",""),'DM_DanToc'!$C$2:$C$78)),1)),"Không tìm thấy"))</f>
        <v/>
      </c>
      <c r="W130" s="5">
        <f>IF($Q130="","",IFERROR(INDEX('DM_TinhThanh'!$B$2:$B$35,AGGREGATE(15,6,ROW('DM_TinhThanh'!$B$2:$B$35)-ROW('DM_TinhThanh'!$B$2)+1/ISNUMBER(SEARCH(SUBSTITUTE(UPPER($Q130)," ",""),'DM_TinhThanh'!$C$2:$C$35)),1)),"Không tìm thấy"))</f>
        <v/>
      </c>
      <c r="Y130" s="5">
        <f>IF($R130="","",IFERROR(INDEX('DM_XaPhuong'!$B$2:$B$169,AGGREGATE(15,6,ROW('DM_XaPhuong'!$B$2:$B$169)-ROW('DM_XaPhuong'!$B$2)+1/ISNUMBER(SEARCH(SUBSTITUTE(UPPER($R130)," ",""),'DM_XaPhuong'!$C$2:$C$169)),1)),"Không tìm thấy"))</f>
        <v/>
      </c>
      <c r="AB130" s="5">
        <f>IF($T130="","",IFERROR(INDEX('DM_NgheNghiep'!$B$2:$B$11,AGGREGATE(15,6,ROW('DM_NgheNghiep'!$B$2:$B$11)-ROW('DM_NgheNghiep'!$B$2)+1/ISNUMBER(SEARCH(SUBSTITUTE(UPPER($T130)," ",""),'DM_NgheNghiep'!$C$2:$C$11)),1)),"Không tìm thấy"))</f>
        <v/>
      </c>
      <c r="AD130" s="5">
        <f>IF($U130="","",IFERROR(INDEX('DM_NoiCongTac'!$B$2:$B$11,AGGREGATE(15,6,ROW('DM_NoiCongTac'!$B$2:$B$11)-ROW('DM_NoiCongTac'!$B$2)+1/ISNUMBER(SEARCH(SUBSTITUTE(UPPER($U130)," ",""),'DM_NoiCongTac'!$C$2:$C$11)),1)),"Không tìm thấy"))</f>
        <v/>
      </c>
      <c r="AF130" s="5">
        <f>IF($V130="","",IFERROR(INDEX('DM_XaPhuong'!$B$2:$B$169,AGGREGATE(15,6,ROW('DM_XaPhuong'!$B$2:$B$169)-ROW('DM_XaPhuong'!$B$2)+1/ISNUMBER(SEARCH(SUBSTITUTE(UPPER($V130)," ",""),'DM_XaPhuong'!$C$2:$C$169)),1)),"Không tìm thấy"))</f>
        <v/>
      </c>
    </row>
    <row r="131">
      <c r="C131" s="5">
        <f>IF($B131="","",IFERROR(INDEX('DM_DoiTuong'!$B$2:$B$19,AGGREGATE(15,6,ROW('DM_DoiTuong'!$B$2:$B$19)-ROW('DM_DoiTuong'!$B$2)+1/ISNUMBER(SEARCH(SUBSTITUTE(UPPER($B131)," ",""),'DM_DoiTuong'!$C$2:$C$19)),1)),"Không tìm thấy"))</f>
        <v/>
      </c>
      <c r="E131" s="5">
        <f>IF($C131="","",IFERROR(INDEX('DM_DiaDiemKham'!$B$2:$B$6,AGGREGATE(15,6,ROW('DM_DiaDiemKham'!$B$2:$B$6)-ROW('DM_DiaDiemKham'!$B$2)+1/ISNUMBER(SEARCH(SUBSTITUTE(UPPER($C131)," ",""),'DM_DiaDiemKham'!$C$2:$C$6)),1)),"Không tìm thấy"))</f>
        <v/>
      </c>
      <c r="G131" s="5">
        <f>IF($D131="","",IFERROR(INDEX('DM_HinhThucChiTra'!$B$2:$B$5,AGGREGATE(15,6,ROW('DM_HinhThucChiTra'!$B$2:$B$5)-ROW('DM_HinhThucChiTra'!$B$2)+1/ISNUMBER(SEARCH(SUBSTITUTE(UPPER($D131)," ",""),'DM_HinhThucChiTra'!$C$2:$C$5)),1)),"Không tìm thấy"))</f>
        <v/>
      </c>
      <c r="I131" s="5">
        <f>IF($E131="","",IFERROR(INDEX('DM_HinhThucKham'!$B$2:$B$3,AGGREGATE(15,6,ROW('DM_HinhThucKham'!$B$2:$B$3)-ROW('DM_HinhThucKham'!$B$2)+1/ISNUMBER(SEARCH(SUBSTITUTE(UPPER($E131)," ",""),'DM_HinhThucKham'!$C$2:$C$3)),1)),"Không tìm thấy"))</f>
        <v/>
      </c>
      <c r="P131" s="5">
        <f>IF($K131="","",IFERROR(INDEX('DM_DanToc'!$B$2:$B$78,AGGREGATE(15,6,ROW('DM_DanToc'!$B$2:$B$78)-ROW('DM_DanToc'!$B$2)+1/ISNUMBER(SEARCH(SUBSTITUTE(UPPER($K131)," ",""),'DM_DanToc'!$C$2:$C$78)),1)),"Không tìm thấy"))</f>
        <v/>
      </c>
      <c r="W131" s="5">
        <f>IF($Q131="","",IFERROR(INDEX('DM_TinhThanh'!$B$2:$B$35,AGGREGATE(15,6,ROW('DM_TinhThanh'!$B$2:$B$35)-ROW('DM_TinhThanh'!$B$2)+1/ISNUMBER(SEARCH(SUBSTITUTE(UPPER($Q131)," ",""),'DM_TinhThanh'!$C$2:$C$35)),1)),"Không tìm thấy"))</f>
        <v/>
      </c>
      <c r="Y131" s="5">
        <f>IF($R131="","",IFERROR(INDEX('DM_XaPhuong'!$B$2:$B$169,AGGREGATE(15,6,ROW('DM_XaPhuong'!$B$2:$B$169)-ROW('DM_XaPhuong'!$B$2)+1/ISNUMBER(SEARCH(SUBSTITUTE(UPPER($R131)," ",""),'DM_XaPhuong'!$C$2:$C$169)),1)),"Không tìm thấy"))</f>
        <v/>
      </c>
      <c r="AB131" s="5">
        <f>IF($T131="","",IFERROR(INDEX('DM_NgheNghiep'!$B$2:$B$11,AGGREGATE(15,6,ROW('DM_NgheNghiep'!$B$2:$B$11)-ROW('DM_NgheNghiep'!$B$2)+1/ISNUMBER(SEARCH(SUBSTITUTE(UPPER($T131)," ",""),'DM_NgheNghiep'!$C$2:$C$11)),1)),"Không tìm thấy"))</f>
        <v/>
      </c>
      <c r="AD131" s="5">
        <f>IF($U131="","",IFERROR(INDEX('DM_NoiCongTac'!$B$2:$B$11,AGGREGATE(15,6,ROW('DM_NoiCongTac'!$B$2:$B$11)-ROW('DM_NoiCongTac'!$B$2)+1/ISNUMBER(SEARCH(SUBSTITUTE(UPPER($U131)," ",""),'DM_NoiCongTac'!$C$2:$C$11)),1)),"Không tìm thấy"))</f>
        <v/>
      </c>
      <c r="AF131" s="5">
        <f>IF($V131="","",IFERROR(INDEX('DM_XaPhuong'!$B$2:$B$169,AGGREGATE(15,6,ROW('DM_XaPhuong'!$B$2:$B$169)-ROW('DM_XaPhuong'!$B$2)+1/ISNUMBER(SEARCH(SUBSTITUTE(UPPER($V131)," ",""),'DM_XaPhuong'!$C$2:$C$169)),1)),"Không tìm thấy"))</f>
        <v/>
      </c>
    </row>
    <row r="132">
      <c r="C132" s="5">
        <f>IF($B132="","",IFERROR(INDEX('DM_DoiTuong'!$B$2:$B$19,AGGREGATE(15,6,ROW('DM_DoiTuong'!$B$2:$B$19)-ROW('DM_DoiTuong'!$B$2)+1/ISNUMBER(SEARCH(SUBSTITUTE(UPPER($B132)," ",""),'DM_DoiTuong'!$C$2:$C$19)),1)),"Không tìm thấy"))</f>
        <v/>
      </c>
      <c r="E132" s="5">
        <f>IF($C132="","",IFERROR(INDEX('DM_DiaDiemKham'!$B$2:$B$6,AGGREGATE(15,6,ROW('DM_DiaDiemKham'!$B$2:$B$6)-ROW('DM_DiaDiemKham'!$B$2)+1/ISNUMBER(SEARCH(SUBSTITUTE(UPPER($C132)," ",""),'DM_DiaDiemKham'!$C$2:$C$6)),1)),"Không tìm thấy"))</f>
        <v/>
      </c>
      <c r="G132" s="5">
        <f>IF($D132="","",IFERROR(INDEX('DM_HinhThucChiTra'!$B$2:$B$5,AGGREGATE(15,6,ROW('DM_HinhThucChiTra'!$B$2:$B$5)-ROW('DM_HinhThucChiTra'!$B$2)+1/ISNUMBER(SEARCH(SUBSTITUTE(UPPER($D132)," ",""),'DM_HinhThucChiTra'!$C$2:$C$5)),1)),"Không tìm thấy"))</f>
        <v/>
      </c>
      <c r="I132" s="5">
        <f>IF($E132="","",IFERROR(INDEX('DM_HinhThucKham'!$B$2:$B$3,AGGREGATE(15,6,ROW('DM_HinhThucKham'!$B$2:$B$3)-ROW('DM_HinhThucKham'!$B$2)+1/ISNUMBER(SEARCH(SUBSTITUTE(UPPER($E132)," ",""),'DM_HinhThucKham'!$C$2:$C$3)),1)),"Không tìm thấy"))</f>
        <v/>
      </c>
      <c r="P132" s="5">
        <f>IF($K132="","",IFERROR(INDEX('DM_DanToc'!$B$2:$B$78,AGGREGATE(15,6,ROW('DM_DanToc'!$B$2:$B$78)-ROW('DM_DanToc'!$B$2)+1/ISNUMBER(SEARCH(SUBSTITUTE(UPPER($K132)," ",""),'DM_DanToc'!$C$2:$C$78)),1)),"Không tìm thấy"))</f>
        <v/>
      </c>
      <c r="W132" s="5">
        <f>IF($Q132="","",IFERROR(INDEX('DM_TinhThanh'!$B$2:$B$35,AGGREGATE(15,6,ROW('DM_TinhThanh'!$B$2:$B$35)-ROW('DM_TinhThanh'!$B$2)+1/ISNUMBER(SEARCH(SUBSTITUTE(UPPER($Q132)," ",""),'DM_TinhThanh'!$C$2:$C$35)),1)),"Không tìm thấy"))</f>
        <v/>
      </c>
      <c r="Y132" s="5">
        <f>IF($R132="","",IFERROR(INDEX('DM_XaPhuong'!$B$2:$B$169,AGGREGATE(15,6,ROW('DM_XaPhuong'!$B$2:$B$169)-ROW('DM_XaPhuong'!$B$2)+1/ISNUMBER(SEARCH(SUBSTITUTE(UPPER($R132)," ",""),'DM_XaPhuong'!$C$2:$C$169)),1)),"Không tìm thấy"))</f>
        <v/>
      </c>
      <c r="AB132" s="5">
        <f>IF($T132="","",IFERROR(INDEX('DM_NgheNghiep'!$B$2:$B$11,AGGREGATE(15,6,ROW('DM_NgheNghiep'!$B$2:$B$11)-ROW('DM_NgheNghiep'!$B$2)+1/ISNUMBER(SEARCH(SUBSTITUTE(UPPER($T132)," ",""),'DM_NgheNghiep'!$C$2:$C$11)),1)),"Không tìm thấy"))</f>
        <v/>
      </c>
      <c r="AD132" s="5">
        <f>IF($U132="","",IFERROR(INDEX('DM_NoiCongTac'!$B$2:$B$11,AGGREGATE(15,6,ROW('DM_NoiCongTac'!$B$2:$B$11)-ROW('DM_NoiCongTac'!$B$2)+1/ISNUMBER(SEARCH(SUBSTITUTE(UPPER($U132)," ",""),'DM_NoiCongTac'!$C$2:$C$11)),1)),"Không tìm thấy"))</f>
        <v/>
      </c>
      <c r="AF132" s="5">
        <f>IF($V132="","",IFERROR(INDEX('DM_XaPhuong'!$B$2:$B$169,AGGREGATE(15,6,ROW('DM_XaPhuong'!$B$2:$B$169)-ROW('DM_XaPhuong'!$B$2)+1/ISNUMBER(SEARCH(SUBSTITUTE(UPPER($V132)," ",""),'DM_XaPhuong'!$C$2:$C$169)),1)),"Không tìm thấy"))</f>
        <v/>
      </c>
    </row>
    <row r="133">
      <c r="C133" s="5">
        <f>IF($B133="","",IFERROR(INDEX('DM_DoiTuong'!$B$2:$B$19,AGGREGATE(15,6,ROW('DM_DoiTuong'!$B$2:$B$19)-ROW('DM_DoiTuong'!$B$2)+1/ISNUMBER(SEARCH(SUBSTITUTE(UPPER($B133)," ",""),'DM_DoiTuong'!$C$2:$C$19)),1)),"Không tìm thấy"))</f>
        <v/>
      </c>
      <c r="E133" s="5">
        <f>IF($C133="","",IFERROR(INDEX('DM_DiaDiemKham'!$B$2:$B$6,AGGREGATE(15,6,ROW('DM_DiaDiemKham'!$B$2:$B$6)-ROW('DM_DiaDiemKham'!$B$2)+1/ISNUMBER(SEARCH(SUBSTITUTE(UPPER($C133)," ",""),'DM_DiaDiemKham'!$C$2:$C$6)),1)),"Không tìm thấy"))</f>
        <v/>
      </c>
      <c r="G133" s="5">
        <f>IF($D133="","",IFERROR(INDEX('DM_HinhThucChiTra'!$B$2:$B$5,AGGREGATE(15,6,ROW('DM_HinhThucChiTra'!$B$2:$B$5)-ROW('DM_HinhThucChiTra'!$B$2)+1/ISNUMBER(SEARCH(SUBSTITUTE(UPPER($D133)," ",""),'DM_HinhThucChiTra'!$C$2:$C$5)),1)),"Không tìm thấy"))</f>
        <v/>
      </c>
      <c r="I133" s="5">
        <f>IF($E133="","",IFERROR(INDEX('DM_HinhThucKham'!$B$2:$B$3,AGGREGATE(15,6,ROW('DM_HinhThucKham'!$B$2:$B$3)-ROW('DM_HinhThucKham'!$B$2)+1/ISNUMBER(SEARCH(SUBSTITUTE(UPPER($E133)," ",""),'DM_HinhThucKham'!$C$2:$C$3)),1)),"Không tìm thấy"))</f>
        <v/>
      </c>
      <c r="P133" s="5">
        <f>IF($K133="","",IFERROR(INDEX('DM_DanToc'!$B$2:$B$78,AGGREGATE(15,6,ROW('DM_DanToc'!$B$2:$B$78)-ROW('DM_DanToc'!$B$2)+1/ISNUMBER(SEARCH(SUBSTITUTE(UPPER($K133)," ",""),'DM_DanToc'!$C$2:$C$78)),1)),"Không tìm thấy"))</f>
        <v/>
      </c>
      <c r="W133" s="5">
        <f>IF($Q133="","",IFERROR(INDEX('DM_TinhThanh'!$B$2:$B$35,AGGREGATE(15,6,ROW('DM_TinhThanh'!$B$2:$B$35)-ROW('DM_TinhThanh'!$B$2)+1/ISNUMBER(SEARCH(SUBSTITUTE(UPPER($Q133)," ",""),'DM_TinhThanh'!$C$2:$C$35)),1)),"Không tìm thấy"))</f>
        <v/>
      </c>
      <c r="Y133" s="5">
        <f>IF($R133="","",IFERROR(INDEX('DM_XaPhuong'!$B$2:$B$169,AGGREGATE(15,6,ROW('DM_XaPhuong'!$B$2:$B$169)-ROW('DM_XaPhuong'!$B$2)+1/ISNUMBER(SEARCH(SUBSTITUTE(UPPER($R133)," ",""),'DM_XaPhuong'!$C$2:$C$169)),1)),"Không tìm thấy"))</f>
        <v/>
      </c>
      <c r="AB133" s="5">
        <f>IF($T133="","",IFERROR(INDEX('DM_NgheNghiep'!$B$2:$B$11,AGGREGATE(15,6,ROW('DM_NgheNghiep'!$B$2:$B$11)-ROW('DM_NgheNghiep'!$B$2)+1/ISNUMBER(SEARCH(SUBSTITUTE(UPPER($T133)," ",""),'DM_NgheNghiep'!$C$2:$C$11)),1)),"Không tìm thấy"))</f>
        <v/>
      </c>
      <c r="AD133" s="5">
        <f>IF($U133="","",IFERROR(INDEX('DM_NoiCongTac'!$B$2:$B$11,AGGREGATE(15,6,ROW('DM_NoiCongTac'!$B$2:$B$11)-ROW('DM_NoiCongTac'!$B$2)+1/ISNUMBER(SEARCH(SUBSTITUTE(UPPER($U133)," ",""),'DM_NoiCongTac'!$C$2:$C$11)),1)),"Không tìm thấy"))</f>
        <v/>
      </c>
      <c r="AF133" s="5">
        <f>IF($V133="","",IFERROR(INDEX('DM_XaPhuong'!$B$2:$B$169,AGGREGATE(15,6,ROW('DM_XaPhuong'!$B$2:$B$169)-ROW('DM_XaPhuong'!$B$2)+1/ISNUMBER(SEARCH(SUBSTITUTE(UPPER($V133)," ",""),'DM_XaPhuong'!$C$2:$C$169)),1)),"Không tìm thấy"))</f>
        <v/>
      </c>
    </row>
    <row r="134">
      <c r="C134" s="5">
        <f>IF($B134="","",IFERROR(INDEX('DM_DoiTuong'!$B$2:$B$19,AGGREGATE(15,6,ROW('DM_DoiTuong'!$B$2:$B$19)-ROW('DM_DoiTuong'!$B$2)+1/ISNUMBER(SEARCH(SUBSTITUTE(UPPER($B134)," ",""),'DM_DoiTuong'!$C$2:$C$19)),1)),"Không tìm thấy"))</f>
        <v/>
      </c>
      <c r="E134" s="5">
        <f>IF($C134="","",IFERROR(INDEX('DM_DiaDiemKham'!$B$2:$B$6,AGGREGATE(15,6,ROW('DM_DiaDiemKham'!$B$2:$B$6)-ROW('DM_DiaDiemKham'!$B$2)+1/ISNUMBER(SEARCH(SUBSTITUTE(UPPER($C134)," ",""),'DM_DiaDiemKham'!$C$2:$C$6)),1)),"Không tìm thấy"))</f>
        <v/>
      </c>
      <c r="G134" s="5">
        <f>IF($D134="","",IFERROR(INDEX('DM_HinhThucChiTra'!$B$2:$B$5,AGGREGATE(15,6,ROW('DM_HinhThucChiTra'!$B$2:$B$5)-ROW('DM_HinhThucChiTra'!$B$2)+1/ISNUMBER(SEARCH(SUBSTITUTE(UPPER($D134)," ",""),'DM_HinhThucChiTra'!$C$2:$C$5)),1)),"Không tìm thấy"))</f>
        <v/>
      </c>
      <c r="I134" s="5">
        <f>IF($E134="","",IFERROR(INDEX('DM_HinhThucKham'!$B$2:$B$3,AGGREGATE(15,6,ROW('DM_HinhThucKham'!$B$2:$B$3)-ROW('DM_HinhThucKham'!$B$2)+1/ISNUMBER(SEARCH(SUBSTITUTE(UPPER($E134)," ",""),'DM_HinhThucKham'!$C$2:$C$3)),1)),"Không tìm thấy"))</f>
        <v/>
      </c>
      <c r="P134" s="5">
        <f>IF($K134="","",IFERROR(INDEX('DM_DanToc'!$B$2:$B$78,AGGREGATE(15,6,ROW('DM_DanToc'!$B$2:$B$78)-ROW('DM_DanToc'!$B$2)+1/ISNUMBER(SEARCH(SUBSTITUTE(UPPER($K134)," ",""),'DM_DanToc'!$C$2:$C$78)),1)),"Không tìm thấy"))</f>
        <v/>
      </c>
      <c r="W134" s="5">
        <f>IF($Q134="","",IFERROR(INDEX('DM_TinhThanh'!$B$2:$B$35,AGGREGATE(15,6,ROW('DM_TinhThanh'!$B$2:$B$35)-ROW('DM_TinhThanh'!$B$2)+1/ISNUMBER(SEARCH(SUBSTITUTE(UPPER($Q134)," ",""),'DM_TinhThanh'!$C$2:$C$35)),1)),"Không tìm thấy"))</f>
        <v/>
      </c>
      <c r="Y134" s="5">
        <f>IF($R134="","",IFERROR(INDEX('DM_XaPhuong'!$B$2:$B$169,AGGREGATE(15,6,ROW('DM_XaPhuong'!$B$2:$B$169)-ROW('DM_XaPhuong'!$B$2)+1/ISNUMBER(SEARCH(SUBSTITUTE(UPPER($R134)," ",""),'DM_XaPhuong'!$C$2:$C$169)),1)),"Không tìm thấy"))</f>
        <v/>
      </c>
      <c r="AB134" s="5">
        <f>IF($T134="","",IFERROR(INDEX('DM_NgheNghiep'!$B$2:$B$11,AGGREGATE(15,6,ROW('DM_NgheNghiep'!$B$2:$B$11)-ROW('DM_NgheNghiep'!$B$2)+1/ISNUMBER(SEARCH(SUBSTITUTE(UPPER($T134)," ",""),'DM_NgheNghiep'!$C$2:$C$11)),1)),"Không tìm thấy"))</f>
        <v/>
      </c>
      <c r="AD134" s="5">
        <f>IF($U134="","",IFERROR(INDEX('DM_NoiCongTac'!$B$2:$B$11,AGGREGATE(15,6,ROW('DM_NoiCongTac'!$B$2:$B$11)-ROW('DM_NoiCongTac'!$B$2)+1/ISNUMBER(SEARCH(SUBSTITUTE(UPPER($U134)," ",""),'DM_NoiCongTac'!$C$2:$C$11)),1)),"Không tìm thấy"))</f>
        <v/>
      </c>
      <c r="AF134" s="5">
        <f>IF($V134="","",IFERROR(INDEX('DM_XaPhuong'!$B$2:$B$169,AGGREGATE(15,6,ROW('DM_XaPhuong'!$B$2:$B$169)-ROW('DM_XaPhuong'!$B$2)+1/ISNUMBER(SEARCH(SUBSTITUTE(UPPER($V134)," ",""),'DM_XaPhuong'!$C$2:$C$169)),1)),"Không tìm thấy"))</f>
        <v/>
      </c>
    </row>
    <row r="135">
      <c r="C135" s="5">
        <f>IF($B135="","",IFERROR(INDEX('DM_DoiTuong'!$B$2:$B$19,AGGREGATE(15,6,ROW('DM_DoiTuong'!$B$2:$B$19)-ROW('DM_DoiTuong'!$B$2)+1/ISNUMBER(SEARCH(SUBSTITUTE(UPPER($B135)," ",""),'DM_DoiTuong'!$C$2:$C$19)),1)),"Không tìm thấy"))</f>
        <v/>
      </c>
      <c r="E135" s="5">
        <f>IF($C135="","",IFERROR(INDEX('DM_DiaDiemKham'!$B$2:$B$6,AGGREGATE(15,6,ROW('DM_DiaDiemKham'!$B$2:$B$6)-ROW('DM_DiaDiemKham'!$B$2)+1/ISNUMBER(SEARCH(SUBSTITUTE(UPPER($C135)," ",""),'DM_DiaDiemKham'!$C$2:$C$6)),1)),"Không tìm thấy"))</f>
        <v/>
      </c>
      <c r="G135" s="5">
        <f>IF($D135="","",IFERROR(INDEX('DM_HinhThucChiTra'!$B$2:$B$5,AGGREGATE(15,6,ROW('DM_HinhThucChiTra'!$B$2:$B$5)-ROW('DM_HinhThucChiTra'!$B$2)+1/ISNUMBER(SEARCH(SUBSTITUTE(UPPER($D135)," ",""),'DM_HinhThucChiTra'!$C$2:$C$5)),1)),"Không tìm thấy"))</f>
        <v/>
      </c>
      <c r="I135" s="5">
        <f>IF($E135="","",IFERROR(INDEX('DM_HinhThucKham'!$B$2:$B$3,AGGREGATE(15,6,ROW('DM_HinhThucKham'!$B$2:$B$3)-ROW('DM_HinhThucKham'!$B$2)+1/ISNUMBER(SEARCH(SUBSTITUTE(UPPER($E135)," ",""),'DM_HinhThucKham'!$C$2:$C$3)),1)),"Không tìm thấy"))</f>
        <v/>
      </c>
      <c r="P135" s="5">
        <f>IF($K135="","",IFERROR(INDEX('DM_DanToc'!$B$2:$B$78,AGGREGATE(15,6,ROW('DM_DanToc'!$B$2:$B$78)-ROW('DM_DanToc'!$B$2)+1/ISNUMBER(SEARCH(SUBSTITUTE(UPPER($K135)," ",""),'DM_DanToc'!$C$2:$C$78)),1)),"Không tìm thấy"))</f>
        <v/>
      </c>
      <c r="W135" s="5">
        <f>IF($Q135="","",IFERROR(INDEX('DM_TinhThanh'!$B$2:$B$35,AGGREGATE(15,6,ROW('DM_TinhThanh'!$B$2:$B$35)-ROW('DM_TinhThanh'!$B$2)+1/ISNUMBER(SEARCH(SUBSTITUTE(UPPER($Q135)," ",""),'DM_TinhThanh'!$C$2:$C$35)),1)),"Không tìm thấy"))</f>
        <v/>
      </c>
      <c r="Y135" s="5">
        <f>IF($R135="","",IFERROR(INDEX('DM_XaPhuong'!$B$2:$B$169,AGGREGATE(15,6,ROW('DM_XaPhuong'!$B$2:$B$169)-ROW('DM_XaPhuong'!$B$2)+1/ISNUMBER(SEARCH(SUBSTITUTE(UPPER($R135)," ",""),'DM_XaPhuong'!$C$2:$C$169)),1)),"Không tìm thấy"))</f>
        <v/>
      </c>
      <c r="AB135" s="5">
        <f>IF($T135="","",IFERROR(INDEX('DM_NgheNghiep'!$B$2:$B$11,AGGREGATE(15,6,ROW('DM_NgheNghiep'!$B$2:$B$11)-ROW('DM_NgheNghiep'!$B$2)+1/ISNUMBER(SEARCH(SUBSTITUTE(UPPER($T135)," ",""),'DM_NgheNghiep'!$C$2:$C$11)),1)),"Không tìm thấy"))</f>
        <v/>
      </c>
      <c r="AD135" s="5">
        <f>IF($U135="","",IFERROR(INDEX('DM_NoiCongTac'!$B$2:$B$11,AGGREGATE(15,6,ROW('DM_NoiCongTac'!$B$2:$B$11)-ROW('DM_NoiCongTac'!$B$2)+1/ISNUMBER(SEARCH(SUBSTITUTE(UPPER($U135)," ",""),'DM_NoiCongTac'!$C$2:$C$11)),1)),"Không tìm thấy"))</f>
        <v/>
      </c>
      <c r="AF135" s="5">
        <f>IF($V135="","",IFERROR(INDEX('DM_XaPhuong'!$B$2:$B$169,AGGREGATE(15,6,ROW('DM_XaPhuong'!$B$2:$B$169)-ROW('DM_XaPhuong'!$B$2)+1/ISNUMBER(SEARCH(SUBSTITUTE(UPPER($V135)," ",""),'DM_XaPhuong'!$C$2:$C$169)),1)),"Không tìm thấy"))</f>
        <v/>
      </c>
    </row>
    <row r="136">
      <c r="C136" s="5">
        <f>IF($B136="","",IFERROR(INDEX('DM_DoiTuong'!$B$2:$B$19,AGGREGATE(15,6,ROW('DM_DoiTuong'!$B$2:$B$19)-ROW('DM_DoiTuong'!$B$2)+1/ISNUMBER(SEARCH(SUBSTITUTE(UPPER($B136)," ",""),'DM_DoiTuong'!$C$2:$C$19)),1)),"Không tìm thấy"))</f>
        <v/>
      </c>
      <c r="E136" s="5">
        <f>IF($C136="","",IFERROR(INDEX('DM_DiaDiemKham'!$B$2:$B$6,AGGREGATE(15,6,ROW('DM_DiaDiemKham'!$B$2:$B$6)-ROW('DM_DiaDiemKham'!$B$2)+1/ISNUMBER(SEARCH(SUBSTITUTE(UPPER($C136)," ",""),'DM_DiaDiemKham'!$C$2:$C$6)),1)),"Không tìm thấy"))</f>
        <v/>
      </c>
      <c r="G136" s="5">
        <f>IF($D136="","",IFERROR(INDEX('DM_HinhThucChiTra'!$B$2:$B$5,AGGREGATE(15,6,ROW('DM_HinhThucChiTra'!$B$2:$B$5)-ROW('DM_HinhThucChiTra'!$B$2)+1/ISNUMBER(SEARCH(SUBSTITUTE(UPPER($D136)," ",""),'DM_HinhThucChiTra'!$C$2:$C$5)),1)),"Không tìm thấy"))</f>
        <v/>
      </c>
      <c r="I136" s="5">
        <f>IF($E136="","",IFERROR(INDEX('DM_HinhThucKham'!$B$2:$B$3,AGGREGATE(15,6,ROW('DM_HinhThucKham'!$B$2:$B$3)-ROW('DM_HinhThucKham'!$B$2)+1/ISNUMBER(SEARCH(SUBSTITUTE(UPPER($E136)," ",""),'DM_HinhThucKham'!$C$2:$C$3)),1)),"Không tìm thấy"))</f>
        <v/>
      </c>
      <c r="P136" s="5">
        <f>IF($K136="","",IFERROR(INDEX('DM_DanToc'!$B$2:$B$78,AGGREGATE(15,6,ROW('DM_DanToc'!$B$2:$B$78)-ROW('DM_DanToc'!$B$2)+1/ISNUMBER(SEARCH(SUBSTITUTE(UPPER($K136)," ",""),'DM_DanToc'!$C$2:$C$78)),1)),"Không tìm thấy"))</f>
        <v/>
      </c>
      <c r="W136" s="5">
        <f>IF($Q136="","",IFERROR(INDEX('DM_TinhThanh'!$B$2:$B$35,AGGREGATE(15,6,ROW('DM_TinhThanh'!$B$2:$B$35)-ROW('DM_TinhThanh'!$B$2)+1/ISNUMBER(SEARCH(SUBSTITUTE(UPPER($Q136)," ",""),'DM_TinhThanh'!$C$2:$C$35)),1)),"Không tìm thấy"))</f>
        <v/>
      </c>
      <c r="Y136" s="5">
        <f>IF($R136="","",IFERROR(INDEX('DM_XaPhuong'!$B$2:$B$169,AGGREGATE(15,6,ROW('DM_XaPhuong'!$B$2:$B$169)-ROW('DM_XaPhuong'!$B$2)+1/ISNUMBER(SEARCH(SUBSTITUTE(UPPER($R136)," ",""),'DM_XaPhuong'!$C$2:$C$169)),1)),"Không tìm thấy"))</f>
        <v/>
      </c>
      <c r="AB136" s="5">
        <f>IF($T136="","",IFERROR(INDEX('DM_NgheNghiep'!$B$2:$B$11,AGGREGATE(15,6,ROW('DM_NgheNghiep'!$B$2:$B$11)-ROW('DM_NgheNghiep'!$B$2)+1/ISNUMBER(SEARCH(SUBSTITUTE(UPPER($T136)," ",""),'DM_NgheNghiep'!$C$2:$C$11)),1)),"Không tìm thấy"))</f>
        <v/>
      </c>
      <c r="AD136" s="5">
        <f>IF($U136="","",IFERROR(INDEX('DM_NoiCongTac'!$B$2:$B$11,AGGREGATE(15,6,ROW('DM_NoiCongTac'!$B$2:$B$11)-ROW('DM_NoiCongTac'!$B$2)+1/ISNUMBER(SEARCH(SUBSTITUTE(UPPER($U136)," ",""),'DM_NoiCongTac'!$C$2:$C$11)),1)),"Không tìm thấy"))</f>
        <v/>
      </c>
      <c r="AF136" s="5">
        <f>IF($V136="","",IFERROR(INDEX('DM_XaPhuong'!$B$2:$B$169,AGGREGATE(15,6,ROW('DM_XaPhuong'!$B$2:$B$169)-ROW('DM_XaPhuong'!$B$2)+1/ISNUMBER(SEARCH(SUBSTITUTE(UPPER($V136)," ",""),'DM_XaPhuong'!$C$2:$C$169)),1)),"Không tìm thấy"))</f>
        <v/>
      </c>
    </row>
    <row r="137">
      <c r="C137" s="5">
        <f>IF($B137="","",IFERROR(INDEX('DM_DoiTuong'!$B$2:$B$19,AGGREGATE(15,6,ROW('DM_DoiTuong'!$B$2:$B$19)-ROW('DM_DoiTuong'!$B$2)+1/ISNUMBER(SEARCH(SUBSTITUTE(UPPER($B137)," ",""),'DM_DoiTuong'!$C$2:$C$19)),1)),"Không tìm thấy"))</f>
        <v/>
      </c>
      <c r="E137" s="5">
        <f>IF($C137="","",IFERROR(INDEX('DM_DiaDiemKham'!$B$2:$B$6,AGGREGATE(15,6,ROW('DM_DiaDiemKham'!$B$2:$B$6)-ROW('DM_DiaDiemKham'!$B$2)+1/ISNUMBER(SEARCH(SUBSTITUTE(UPPER($C137)," ",""),'DM_DiaDiemKham'!$C$2:$C$6)),1)),"Không tìm thấy"))</f>
        <v/>
      </c>
      <c r="G137" s="5">
        <f>IF($D137="","",IFERROR(INDEX('DM_HinhThucChiTra'!$B$2:$B$5,AGGREGATE(15,6,ROW('DM_HinhThucChiTra'!$B$2:$B$5)-ROW('DM_HinhThucChiTra'!$B$2)+1/ISNUMBER(SEARCH(SUBSTITUTE(UPPER($D137)," ",""),'DM_HinhThucChiTra'!$C$2:$C$5)),1)),"Không tìm thấy"))</f>
        <v/>
      </c>
      <c r="I137" s="5">
        <f>IF($E137="","",IFERROR(INDEX('DM_HinhThucKham'!$B$2:$B$3,AGGREGATE(15,6,ROW('DM_HinhThucKham'!$B$2:$B$3)-ROW('DM_HinhThucKham'!$B$2)+1/ISNUMBER(SEARCH(SUBSTITUTE(UPPER($E137)," ",""),'DM_HinhThucKham'!$C$2:$C$3)),1)),"Không tìm thấy"))</f>
        <v/>
      </c>
      <c r="P137" s="5">
        <f>IF($K137="","",IFERROR(INDEX('DM_DanToc'!$B$2:$B$78,AGGREGATE(15,6,ROW('DM_DanToc'!$B$2:$B$78)-ROW('DM_DanToc'!$B$2)+1/ISNUMBER(SEARCH(SUBSTITUTE(UPPER($K137)," ",""),'DM_DanToc'!$C$2:$C$78)),1)),"Không tìm thấy"))</f>
        <v/>
      </c>
      <c r="W137" s="5">
        <f>IF($Q137="","",IFERROR(INDEX('DM_TinhThanh'!$B$2:$B$35,AGGREGATE(15,6,ROW('DM_TinhThanh'!$B$2:$B$35)-ROW('DM_TinhThanh'!$B$2)+1/ISNUMBER(SEARCH(SUBSTITUTE(UPPER($Q137)," ",""),'DM_TinhThanh'!$C$2:$C$35)),1)),"Không tìm thấy"))</f>
        <v/>
      </c>
      <c r="Y137" s="5">
        <f>IF($R137="","",IFERROR(INDEX('DM_XaPhuong'!$B$2:$B$169,AGGREGATE(15,6,ROW('DM_XaPhuong'!$B$2:$B$169)-ROW('DM_XaPhuong'!$B$2)+1/ISNUMBER(SEARCH(SUBSTITUTE(UPPER($R137)," ",""),'DM_XaPhuong'!$C$2:$C$169)),1)),"Không tìm thấy"))</f>
        <v/>
      </c>
      <c r="AB137" s="5">
        <f>IF($T137="","",IFERROR(INDEX('DM_NgheNghiep'!$B$2:$B$11,AGGREGATE(15,6,ROW('DM_NgheNghiep'!$B$2:$B$11)-ROW('DM_NgheNghiep'!$B$2)+1/ISNUMBER(SEARCH(SUBSTITUTE(UPPER($T137)," ",""),'DM_NgheNghiep'!$C$2:$C$11)),1)),"Không tìm thấy"))</f>
        <v/>
      </c>
      <c r="AD137" s="5">
        <f>IF($U137="","",IFERROR(INDEX('DM_NoiCongTac'!$B$2:$B$11,AGGREGATE(15,6,ROW('DM_NoiCongTac'!$B$2:$B$11)-ROW('DM_NoiCongTac'!$B$2)+1/ISNUMBER(SEARCH(SUBSTITUTE(UPPER($U137)," ",""),'DM_NoiCongTac'!$C$2:$C$11)),1)),"Không tìm thấy"))</f>
        <v/>
      </c>
      <c r="AF137" s="5">
        <f>IF($V137="","",IFERROR(INDEX('DM_XaPhuong'!$B$2:$B$169,AGGREGATE(15,6,ROW('DM_XaPhuong'!$B$2:$B$169)-ROW('DM_XaPhuong'!$B$2)+1/ISNUMBER(SEARCH(SUBSTITUTE(UPPER($V137)," ",""),'DM_XaPhuong'!$C$2:$C$169)),1)),"Không tìm thấy"))</f>
        <v/>
      </c>
    </row>
    <row r="138">
      <c r="C138" s="5">
        <f>IF($B138="","",IFERROR(INDEX('DM_DoiTuong'!$B$2:$B$19,AGGREGATE(15,6,ROW('DM_DoiTuong'!$B$2:$B$19)-ROW('DM_DoiTuong'!$B$2)+1/ISNUMBER(SEARCH(SUBSTITUTE(UPPER($B138)," ",""),'DM_DoiTuong'!$C$2:$C$19)),1)),"Không tìm thấy"))</f>
        <v/>
      </c>
      <c r="E138" s="5">
        <f>IF($C138="","",IFERROR(INDEX('DM_DiaDiemKham'!$B$2:$B$6,AGGREGATE(15,6,ROW('DM_DiaDiemKham'!$B$2:$B$6)-ROW('DM_DiaDiemKham'!$B$2)+1/ISNUMBER(SEARCH(SUBSTITUTE(UPPER($C138)," ",""),'DM_DiaDiemKham'!$C$2:$C$6)),1)),"Không tìm thấy"))</f>
        <v/>
      </c>
      <c r="G138" s="5">
        <f>IF($D138="","",IFERROR(INDEX('DM_HinhThucChiTra'!$B$2:$B$5,AGGREGATE(15,6,ROW('DM_HinhThucChiTra'!$B$2:$B$5)-ROW('DM_HinhThucChiTra'!$B$2)+1/ISNUMBER(SEARCH(SUBSTITUTE(UPPER($D138)," ",""),'DM_HinhThucChiTra'!$C$2:$C$5)),1)),"Không tìm thấy"))</f>
        <v/>
      </c>
      <c r="I138" s="5">
        <f>IF($E138="","",IFERROR(INDEX('DM_HinhThucKham'!$B$2:$B$3,AGGREGATE(15,6,ROW('DM_HinhThucKham'!$B$2:$B$3)-ROW('DM_HinhThucKham'!$B$2)+1/ISNUMBER(SEARCH(SUBSTITUTE(UPPER($E138)," ",""),'DM_HinhThucKham'!$C$2:$C$3)),1)),"Không tìm thấy"))</f>
        <v/>
      </c>
      <c r="P138" s="5">
        <f>IF($K138="","",IFERROR(INDEX('DM_DanToc'!$B$2:$B$78,AGGREGATE(15,6,ROW('DM_DanToc'!$B$2:$B$78)-ROW('DM_DanToc'!$B$2)+1/ISNUMBER(SEARCH(SUBSTITUTE(UPPER($K138)," ",""),'DM_DanToc'!$C$2:$C$78)),1)),"Không tìm thấy"))</f>
        <v/>
      </c>
      <c r="W138" s="5">
        <f>IF($Q138="","",IFERROR(INDEX('DM_TinhThanh'!$B$2:$B$35,AGGREGATE(15,6,ROW('DM_TinhThanh'!$B$2:$B$35)-ROW('DM_TinhThanh'!$B$2)+1/ISNUMBER(SEARCH(SUBSTITUTE(UPPER($Q138)," ",""),'DM_TinhThanh'!$C$2:$C$35)),1)),"Không tìm thấy"))</f>
        <v/>
      </c>
      <c r="Y138" s="5">
        <f>IF($R138="","",IFERROR(INDEX('DM_XaPhuong'!$B$2:$B$169,AGGREGATE(15,6,ROW('DM_XaPhuong'!$B$2:$B$169)-ROW('DM_XaPhuong'!$B$2)+1/ISNUMBER(SEARCH(SUBSTITUTE(UPPER($R138)," ",""),'DM_XaPhuong'!$C$2:$C$169)),1)),"Không tìm thấy"))</f>
        <v/>
      </c>
      <c r="AB138" s="5">
        <f>IF($T138="","",IFERROR(INDEX('DM_NgheNghiep'!$B$2:$B$11,AGGREGATE(15,6,ROW('DM_NgheNghiep'!$B$2:$B$11)-ROW('DM_NgheNghiep'!$B$2)+1/ISNUMBER(SEARCH(SUBSTITUTE(UPPER($T138)," ",""),'DM_NgheNghiep'!$C$2:$C$11)),1)),"Không tìm thấy"))</f>
        <v/>
      </c>
      <c r="AD138" s="5">
        <f>IF($U138="","",IFERROR(INDEX('DM_NoiCongTac'!$B$2:$B$11,AGGREGATE(15,6,ROW('DM_NoiCongTac'!$B$2:$B$11)-ROW('DM_NoiCongTac'!$B$2)+1/ISNUMBER(SEARCH(SUBSTITUTE(UPPER($U138)," ",""),'DM_NoiCongTac'!$C$2:$C$11)),1)),"Không tìm thấy"))</f>
        <v/>
      </c>
      <c r="AF138" s="5">
        <f>IF($V138="","",IFERROR(INDEX('DM_XaPhuong'!$B$2:$B$169,AGGREGATE(15,6,ROW('DM_XaPhuong'!$B$2:$B$169)-ROW('DM_XaPhuong'!$B$2)+1/ISNUMBER(SEARCH(SUBSTITUTE(UPPER($V138)," ",""),'DM_XaPhuong'!$C$2:$C$169)),1)),"Không tìm thấy"))</f>
        <v/>
      </c>
    </row>
    <row r="139">
      <c r="C139" s="5">
        <f>IF($B139="","",IFERROR(INDEX('DM_DoiTuong'!$B$2:$B$19,AGGREGATE(15,6,ROW('DM_DoiTuong'!$B$2:$B$19)-ROW('DM_DoiTuong'!$B$2)+1/ISNUMBER(SEARCH(SUBSTITUTE(UPPER($B139)," ",""),'DM_DoiTuong'!$C$2:$C$19)),1)),"Không tìm thấy"))</f>
        <v/>
      </c>
      <c r="E139" s="5">
        <f>IF($C139="","",IFERROR(INDEX('DM_DiaDiemKham'!$B$2:$B$6,AGGREGATE(15,6,ROW('DM_DiaDiemKham'!$B$2:$B$6)-ROW('DM_DiaDiemKham'!$B$2)+1/ISNUMBER(SEARCH(SUBSTITUTE(UPPER($C139)," ",""),'DM_DiaDiemKham'!$C$2:$C$6)),1)),"Không tìm thấy"))</f>
        <v/>
      </c>
      <c r="G139" s="5">
        <f>IF($D139="","",IFERROR(INDEX('DM_HinhThucChiTra'!$B$2:$B$5,AGGREGATE(15,6,ROW('DM_HinhThucChiTra'!$B$2:$B$5)-ROW('DM_HinhThucChiTra'!$B$2)+1/ISNUMBER(SEARCH(SUBSTITUTE(UPPER($D139)," ",""),'DM_HinhThucChiTra'!$C$2:$C$5)),1)),"Không tìm thấy"))</f>
        <v/>
      </c>
      <c r="I139" s="5">
        <f>IF($E139="","",IFERROR(INDEX('DM_HinhThucKham'!$B$2:$B$3,AGGREGATE(15,6,ROW('DM_HinhThucKham'!$B$2:$B$3)-ROW('DM_HinhThucKham'!$B$2)+1/ISNUMBER(SEARCH(SUBSTITUTE(UPPER($E139)," ",""),'DM_HinhThucKham'!$C$2:$C$3)),1)),"Không tìm thấy"))</f>
        <v/>
      </c>
      <c r="P139" s="5">
        <f>IF($K139="","",IFERROR(INDEX('DM_DanToc'!$B$2:$B$78,AGGREGATE(15,6,ROW('DM_DanToc'!$B$2:$B$78)-ROW('DM_DanToc'!$B$2)+1/ISNUMBER(SEARCH(SUBSTITUTE(UPPER($K139)," ",""),'DM_DanToc'!$C$2:$C$78)),1)),"Không tìm thấy"))</f>
        <v/>
      </c>
      <c r="W139" s="5">
        <f>IF($Q139="","",IFERROR(INDEX('DM_TinhThanh'!$B$2:$B$35,AGGREGATE(15,6,ROW('DM_TinhThanh'!$B$2:$B$35)-ROW('DM_TinhThanh'!$B$2)+1/ISNUMBER(SEARCH(SUBSTITUTE(UPPER($Q139)," ",""),'DM_TinhThanh'!$C$2:$C$35)),1)),"Không tìm thấy"))</f>
        <v/>
      </c>
      <c r="Y139" s="5">
        <f>IF($R139="","",IFERROR(INDEX('DM_XaPhuong'!$B$2:$B$169,AGGREGATE(15,6,ROW('DM_XaPhuong'!$B$2:$B$169)-ROW('DM_XaPhuong'!$B$2)+1/ISNUMBER(SEARCH(SUBSTITUTE(UPPER($R139)," ",""),'DM_XaPhuong'!$C$2:$C$169)),1)),"Không tìm thấy"))</f>
        <v/>
      </c>
      <c r="AB139" s="5">
        <f>IF($T139="","",IFERROR(INDEX('DM_NgheNghiep'!$B$2:$B$11,AGGREGATE(15,6,ROW('DM_NgheNghiep'!$B$2:$B$11)-ROW('DM_NgheNghiep'!$B$2)+1/ISNUMBER(SEARCH(SUBSTITUTE(UPPER($T139)," ",""),'DM_NgheNghiep'!$C$2:$C$11)),1)),"Không tìm thấy"))</f>
        <v/>
      </c>
      <c r="AD139" s="5">
        <f>IF($U139="","",IFERROR(INDEX('DM_NoiCongTac'!$B$2:$B$11,AGGREGATE(15,6,ROW('DM_NoiCongTac'!$B$2:$B$11)-ROW('DM_NoiCongTac'!$B$2)+1/ISNUMBER(SEARCH(SUBSTITUTE(UPPER($U139)," ",""),'DM_NoiCongTac'!$C$2:$C$11)),1)),"Không tìm thấy"))</f>
        <v/>
      </c>
      <c r="AF139" s="5">
        <f>IF($V139="","",IFERROR(INDEX('DM_XaPhuong'!$B$2:$B$169,AGGREGATE(15,6,ROW('DM_XaPhuong'!$B$2:$B$169)-ROW('DM_XaPhuong'!$B$2)+1/ISNUMBER(SEARCH(SUBSTITUTE(UPPER($V139)," ",""),'DM_XaPhuong'!$C$2:$C$169)),1)),"Không tìm thấy"))</f>
        <v/>
      </c>
    </row>
    <row r="140">
      <c r="C140" s="5">
        <f>IF($B140="","",IFERROR(INDEX('DM_DoiTuong'!$B$2:$B$19,AGGREGATE(15,6,ROW('DM_DoiTuong'!$B$2:$B$19)-ROW('DM_DoiTuong'!$B$2)+1/ISNUMBER(SEARCH(SUBSTITUTE(UPPER($B140)," ",""),'DM_DoiTuong'!$C$2:$C$19)),1)),"Không tìm thấy"))</f>
        <v/>
      </c>
      <c r="E140" s="5">
        <f>IF($C140="","",IFERROR(INDEX('DM_DiaDiemKham'!$B$2:$B$6,AGGREGATE(15,6,ROW('DM_DiaDiemKham'!$B$2:$B$6)-ROW('DM_DiaDiemKham'!$B$2)+1/ISNUMBER(SEARCH(SUBSTITUTE(UPPER($C140)," ",""),'DM_DiaDiemKham'!$C$2:$C$6)),1)),"Không tìm thấy"))</f>
        <v/>
      </c>
      <c r="G140" s="5">
        <f>IF($D140="","",IFERROR(INDEX('DM_HinhThucChiTra'!$B$2:$B$5,AGGREGATE(15,6,ROW('DM_HinhThucChiTra'!$B$2:$B$5)-ROW('DM_HinhThucChiTra'!$B$2)+1/ISNUMBER(SEARCH(SUBSTITUTE(UPPER($D140)," ",""),'DM_HinhThucChiTra'!$C$2:$C$5)),1)),"Không tìm thấy"))</f>
        <v/>
      </c>
      <c r="I140" s="5">
        <f>IF($E140="","",IFERROR(INDEX('DM_HinhThucKham'!$B$2:$B$3,AGGREGATE(15,6,ROW('DM_HinhThucKham'!$B$2:$B$3)-ROW('DM_HinhThucKham'!$B$2)+1/ISNUMBER(SEARCH(SUBSTITUTE(UPPER($E140)," ",""),'DM_HinhThucKham'!$C$2:$C$3)),1)),"Không tìm thấy"))</f>
        <v/>
      </c>
      <c r="P140" s="5">
        <f>IF($K140="","",IFERROR(INDEX('DM_DanToc'!$B$2:$B$78,AGGREGATE(15,6,ROW('DM_DanToc'!$B$2:$B$78)-ROW('DM_DanToc'!$B$2)+1/ISNUMBER(SEARCH(SUBSTITUTE(UPPER($K140)," ",""),'DM_DanToc'!$C$2:$C$78)),1)),"Không tìm thấy"))</f>
        <v/>
      </c>
      <c r="W140" s="5">
        <f>IF($Q140="","",IFERROR(INDEX('DM_TinhThanh'!$B$2:$B$35,AGGREGATE(15,6,ROW('DM_TinhThanh'!$B$2:$B$35)-ROW('DM_TinhThanh'!$B$2)+1/ISNUMBER(SEARCH(SUBSTITUTE(UPPER($Q140)," ",""),'DM_TinhThanh'!$C$2:$C$35)),1)),"Không tìm thấy"))</f>
        <v/>
      </c>
      <c r="Y140" s="5">
        <f>IF($R140="","",IFERROR(INDEX('DM_XaPhuong'!$B$2:$B$169,AGGREGATE(15,6,ROW('DM_XaPhuong'!$B$2:$B$169)-ROW('DM_XaPhuong'!$B$2)+1/ISNUMBER(SEARCH(SUBSTITUTE(UPPER($R140)," ",""),'DM_XaPhuong'!$C$2:$C$169)),1)),"Không tìm thấy"))</f>
        <v/>
      </c>
      <c r="AB140" s="5">
        <f>IF($T140="","",IFERROR(INDEX('DM_NgheNghiep'!$B$2:$B$11,AGGREGATE(15,6,ROW('DM_NgheNghiep'!$B$2:$B$11)-ROW('DM_NgheNghiep'!$B$2)+1/ISNUMBER(SEARCH(SUBSTITUTE(UPPER($T140)," ",""),'DM_NgheNghiep'!$C$2:$C$11)),1)),"Không tìm thấy"))</f>
        <v/>
      </c>
      <c r="AD140" s="5">
        <f>IF($U140="","",IFERROR(INDEX('DM_NoiCongTac'!$B$2:$B$11,AGGREGATE(15,6,ROW('DM_NoiCongTac'!$B$2:$B$11)-ROW('DM_NoiCongTac'!$B$2)+1/ISNUMBER(SEARCH(SUBSTITUTE(UPPER($U140)," ",""),'DM_NoiCongTac'!$C$2:$C$11)),1)),"Không tìm thấy"))</f>
        <v/>
      </c>
      <c r="AF140" s="5">
        <f>IF($V140="","",IFERROR(INDEX('DM_XaPhuong'!$B$2:$B$169,AGGREGATE(15,6,ROW('DM_XaPhuong'!$B$2:$B$169)-ROW('DM_XaPhuong'!$B$2)+1/ISNUMBER(SEARCH(SUBSTITUTE(UPPER($V140)," ",""),'DM_XaPhuong'!$C$2:$C$169)),1)),"Không tìm thấy"))</f>
        <v/>
      </c>
    </row>
    <row r="141">
      <c r="C141" s="5">
        <f>IF($B141="","",IFERROR(INDEX('DM_DoiTuong'!$B$2:$B$19,AGGREGATE(15,6,ROW('DM_DoiTuong'!$B$2:$B$19)-ROW('DM_DoiTuong'!$B$2)+1/ISNUMBER(SEARCH(SUBSTITUTE(UPPER($B141)," ",""),'DM_DoiTuong'!$C$2:$C$19)),1)),"Không tìm thấy"))</f>
        <v/>
      </c>
      <c r="E141" s="5">
        <f>IF($C141="","",IFERROR(INDEX('DM_DiaDiemKham'!$B$2:$B$6,AGGREGATE(15,6,ROW('DM_DiaDiemKham'!$B$2:$B$6)-ROW('DM_DiaDiemKham'!$B$2)+1/ISNUMBER(SEARCH(SUBSTITUTE(UPPER($C141)," ",""),'DM_DiaDiemKham'!$C$2:$C$6)),1)),"Không tìm thấy"))</f>
        <v/>
      </c>
      <c r="G141" s="5">
        <f>IF($D141="","",IFERROR(INDEX('DM_HinhThucChiTra'!$B$2:$B$5,AGGREGATE(15,6,ROW('DM_HinhThucChiTra'!$B$2:$B$5)-ROW('DM_HinhThucChiTra'!$B$2)+1/ISNUMBER(SEARCH(SUBSTITUTE(UPPER($D141)," ",""),'DM_HinhThucChiTra'!$C$2:$C$5)),1)),"Không tìm thấy"))</f>
        <v/>
      </c>
      <c r="I141" s="5">
        <f>IF($E141="","",IFERROR(INDEX('DM_HinhThucKham'!$B$2:$B$3,AGGREGATE(15,6,ROW('DM_HinhThucKham'!$B$2:$B$3)-ROW('DM_HinhThucKham'!$B$2)+1/ISNUMBER(SEARCH(SUBSTITUTE(UPPER($E141)," ",""),'DM_HinhThucKham'!$C$2:$C$3)),1)),"Không tìm thấy"))</f>
        <v/>
      </c>
      <c r="P141" s="5">
        <f>IF($K141="","",IFERROR(INDEX('DM_DanToc'!$B$2:$B$78,AGGREGATE(15,6,ROW('DM_DanToc'!$B$2:$B$78)-ROW('DM_DanToc'!$B$2)+1/ISNUMBER(SEARCH(SUBSTITUTE(UPPER($K141)," ",""),'DM_DanToc'!$C$2:$C$78)),1)),"Không tìm thấy"))</f>
        <v/>
      </c>
      <c r="W141" s="5">
        <f>IF($Q141="","",IFERROR(INDEX('DM_TinhThanh'!$B$2:$B$35,AGGREGATE(15,6,ROW('DM_TinhThanh'!$B$2:$B$35)-ROW('DM_TinhThanh'!$B$2)+1/ISNUMBER(SEARCH(SUBSTITUTE(UPPER($Q141)," ",""),'DM_TinhThanh'!$C$2:$C$35)),1)),"Không tìm thấy"))</f>
        <v/>
      </c>
      <c r="Y141" s="5">
        <f>IF($R141="","",IFERROR(INDEX('DM_XaPhuong'!$B$2:$B$169,AGGREGATE(15,6,ROW('DM_XaPhuong'!$B$2:$B$169)-ROW('DM_XaPhuong'!$B$2)+1/ISNUMBER(SEARCH(SUBSTITUTE(UPPER($R141)," ",""),'DM_XaPhuong'!$C$2:$C$169)),1)),"Không tìm thấy"))</f>
        <v/>
      </c>
      <c r="AB141" s="5">
        <f>IF($T141="","",IFERROR(INDEX('DM_NgheNghiep'!$B$2:$B$11,AGGREGATE(15,6,ROW('DM_NgheNghiep'!$B$2:$B$11)-ROW('DM_NgheNghiep'!$B$2)+1/ISNUMBER(SEARCH(SUBSTITUTE(UPPER($T141)," ",""),'DM_NgheNghiep'!$C$2:$C$11)),1)),"Không tìm thấy"))</f>
        <v/>
      </c>
      <c r="AD141" s="5">
        <f>IF($U141="","",IFERROR(INDEX('DM_NoiCongTac'!$B$2:$B$11,AGGREGATE(15,6,ROW('DM_NoiCongTac'!$B$2:$B$11)-ROW('DM_NoiCongTac'!$B$2)+1/ISNUMBER(SEARCH(SUBSTITUTE(UPPER($U141)," ",""),'DM_NoiCongTac'!$C$2:$C$11)),1)),"Không tìm thấy"))</f>
        <v/>
      </c>
      <c r="AF141" s="5">
        <f>IF($V141="","",IFERROR(INDEX('DM_XaPhuong'!$B$2:$B$169,AGGREGATE(15,6,ROW('DM_XaPhuong'!$B$2:$B$169)-ROW('DM_XaPhuong'!$B$2)+1/ISNUMBER(SEARCH(SUBSTITUTE(UPPER($V141)," ",""),'DM_XaPhuong'!$C$2:$C$169)),1)),"Không tìm thấy"))</f>
        <v/>
      </c>
    </row>
    <row r="142">
      <c r="C142" s="5">
        <f>IF($B142="","",IFERROR(INDEX('DM_DoiTuong'!$B$2:$B$19,AGGREGATE(15,6,ROW('DM_DoiTuong'!$B$2:$B$19)-ROW('DM_DoiTuong'!$B$2)+1/ISNUMBER(SEARCH(SUBSTITUTE(UPPER($B142)," ",""),'DM_DoiTuong'!$C$2:$C$19)),1)),"Không tìm thấy"))</f>
        <v/>
      </c>
      <c r="E142" s="5">
        <f>IF($C142="","",IFERROR(INDEX('DM_DiaDiemKham'!$B$2:$B$6,AGGREGATE(15,6,ROW('DM_DiaDiemKham'!$B$2:$B$6)-ROW('DM_DiaDiemKham'!$B$2)+1/ISNUMBER(SEARCH(SUBSTITUTE(UPPER($C142)," ",""),'DM_DiaDiemKham'!$C$2:$C$6)),1)),"Không tìm thấy"))</f>
        <v/>
      </c>
      <c r="G142" s="5">
        <f>IF($D142="","",IFERROR(INDEX('DM_HinhThucChiTra'!$B$2:$B$5,AGGREGATE(15,6,ROW('DM_HinhThucChiTra'!$B$2:$B$5)-ROW('DM_HinhThucChiTra'!$B$2)+1/ISNUMBER(SEARCH(SUBSTITUTE(UPPER($D142)," ",""),'DM_HinhThucChiTra'!$C$2:$C$5)),1)),"Không tìm thấy"))</f>
        <v/>
      </c>
      <c r="I142" s="5">
        <f>IF($E142="","",IFERROR(INDEX('DM_HinhThucKham'!$B$2:$B$3,AGGREGATE(15,6,ROW('DM_HinhThucKham'!$B$2:$B$3)-ROW('DM_HinhThucKham'!$B$2)+1/ISNUMBER(SEARCH(SUBSTITUTE(UPPER($E142)," ",""),'DM_HinhThucKham'!$C$2:$C$3)),1)),"Không tìm thấy"))</f>
        <v/>
      </c>
      <c r="P142" s="5">
        <f>IF($K142="","",IFERROR(INDEX('DM_DanToc'!$B$2:$B$78,AGGREGATE(15,6,ROW('DM_DanToc'!$B$2:$B$78)-ROW('DM_DanToc'!$B$2)+1/ISNUMBER(SEARCH(SUBSTITUTE(UPPER($K142)," ",""),'DM_DanToc'!$C$2:$C$78)),1)),"Không tìm thấy"))</f>
        <v/>
      </c>
      <c r="W142" s="5">
        <f>IF($Q142="","",IFERROR(INDEX('DM_TinhThanh'!$B$2:$B$35,AGGREGATE(15,6,ROW('DM_TinhThanh'!$B$2:$B$35)-ROW('DM_TinhThanh'!$B$2)+1/ISNUMBER(SEARCH(SUBSTITUTE(UPPER($Q142)," ",""),'DM_TinhThanh'!$C$2:$C$35)),1)),"Không tìm thấy"))</f>
        <v/>
      </c>
      <c r="Y142" s="5">
        <f>IF($R142="","",IFERROR(INDEX('DM_XaPhuong'!$B$2:$B$169,AGGREGATE(15,6,ROW('DM_XaPhuong'!$B$2:$B$169)-ROW('DM_XaPhuong'!$B$2)+1/ISNUMBER(SEARCH(SUBSTITUTE(UPPER($R142)," ",""),'DM_XaPhuong'!$C$2:$C$169)),1)),"Không tìm thấy"))</f>
        <v/>
      </c>
      <c r="AB142" s="5">
        <f>IF($T142="","",IFERROR(INDEX('DM_NgheNghiep'!$B$2:$B$11,AGGREGATE(15,6,ROW('DM_NgheNghiep'!$B$2:$B$11)-ROW('DM_NgheNghiep'!$B$2)+1/ISNUMBER(SEARCH(SUBSTITUTE(UPPER($T142)," ",""),'DM_NgheNghiep'!$C$2:$C$11)),1)),"Không tìm thấy"))</f>
        <v/>
      </c>
      <c r="AD142" s="5">
        <f>IF($U142="","",IFERROR(INDEX('DM_NoiCongTac'!$B$2:$B$11,AGGREGATE(15,6,ROW('DM_NoiCongTac'!$B$2:$B$11)-ROW('DM_NoiCongTac'!$B$2)+1/ISNUMBER(SEARCH(SUBSTITUTE(UPPER($U142)," ",""),'DM_NoiCongTac'!$C$2:$C$11)),1)),"Không tìm thấy"))</f>
        <v/>
      </c>
      <c r="AF142" s="5">
        <f>IF($V142="","",IFERROR(INDEX('DM_XaPhuong'!$B$2:$B$169,AGGREGATE(15,6,ROW('DM_XaPhuong'!$B$2:$B$169)-ROW('DM_XaPhuong'!$B$2)+1/ISNUMBER(SEARCH(SUBSTITUTE(UPPER($V142)," ",""),'DM_XaPhuong'!$C$2:$C$169)),1)),"Không tìm thấy"))</f>
        <v/>
      </c>
    </row>
    <row r="143">
      <c r="C143" s="5">
        <f>IF($B143="","",IFERROR(INDEX('DM_DoiTuong'!$B$2:$B$19,AGGREGATE(15,6,ROW('DM_DoiTuong'!$B$2:$B$19)-ROW('DM_DoiTuong'!$B$2)+1/ISNUMBER(SEARCH(SUBSTITUTE(UPPER($B143)," ",""),'DM_DoiTuong'!$C$2:$C$19)),1)),"Không tìm thấy"))</f>
        <v/>
      </c>
      <c r="E143" s="5">
        <f>IF($C143="","",IFERROR(INDEX('DM_DiaDiemKham'!$B$2:$B$6,AGGREGATE(15,6,ROW('DM_DiaDiemKham'!$B$2:$B$6)-ROW('DM_DiaDiemKham'!$B$2)+1/ISNUMBER(SEARCH(SUBSTITUTE(UPPER($C143)," ",""),'DM_DiaDiemKham'!$C$2:$C$6)),1)),"Không tìm thấy"))</f>
        <v/>
      </c>
      <c r="G143" s="5">
        <f>IF($D143="","",IFERROR(INDEX('DM_HinhThucChiTra'!$B$2:$B$5,AGGREGATE(15,6,ROW('DM_HinhThucChiTra'!$B$2:$B$5)-ROW('DM_HinhThucChiTra'!$B$2)+1/ISNUMBER(SEARCH(SUBSTITUTE(UPPER($D143)," ",""),'DM_HinhThucChiTra'!$C$2:$C$5)),1)),"Không tìm thấy"))</f>
        <v/>
      </c>
      <c r="I143" s="5">
        <f>IF($E143="","",IFERROR(INDEX('DM_HinhThucKham'!$B$2:$B$3,AGGREGATE(15,6,ROW('DM_HinhThucKham'!$B$2:$B$3)-ROW('DM_HinhThucKham'!$B$2)+1/ISNUMBER(SEARCH(SUBSTITUTE(UPPER($E143)," ",""),'DM_HinhThucKham'!$C$2:$C$3)),1)),"Không tìm thấy"))</f>
        <v/>
      </c>
      <c r="P143" s="5">
        <f>IF($K143="","",IFERROR(INDEX('DM_DanToc'!$B$2:$B$78,AGGREGATE(15,6,ROW('DM_DanToc'!$B$2:$B$78)-ROW('DM_DanToc'!$B$2)+1/ISNUMBER(SEARCH(SUBSTITUTE(UPPER($K143)," ",""),'DM_DanToc'!$C$2:$C$78)),1)),"Không tìm thấy"))</f>
        <v/>
      </c>
      <c r="W143" s="5">
        <f>IF($Q143="","",IFERROR(INDEX('DM_TinhThanh'!$B$2:$B$35,AGGREGATE(15,6,ROW('DM_TinhThanh'!$B$2:$B$35)-ROW('DM_TinhThanh'!$B$2)+1/ISNUMBER(SEARCH(SUBSTITUTE(UPPER($Q143)," ",""),'DM_TinhThanh'!$C$2:$C$35)),1)),"Không tìm thấy"))</f>
        <v/>
      </c>
      <c r="Y143" s="5">
        <f>IF($R143="","",IFERROR(INDEX('DM_XaPhuong'!$B$2:$B$169,AGGREGATE(15,6,ROW('DM_XaPhuong'!$B$2:$B$169)-ROW('DM_XaPhuong'!$B$2)+1/ISNUMBER(SEARCH(SUBSTITUTE(UPPER($R143)," ",""),'DM_XaPhuong'!$C$2:$C$169)),1)),"Không tìm thấy"))</f>
        <v/>
      </c>
      <c r="AB143" s="5">
        <f>IF($T143="","",IFERROR(INDEX('DM_NgheNghiep'!$B$2:$B$11,AGGREGATE(15,6,ROW('DM_NgheNghiep'!$B$2:$B$11)-ROW('DM_NgheNghiep'!$B$2)+1/ISNUMBER(SEARCH(SUBSTITUTE(UPPER($T143)," ",""),'DM_NgheNghiep'!$C$2:$C$11)),1)),"Không tìm thấy"))</f>
        <v/>
      </c>
      <c r="AD143" s="5">
        <f>IF($U143="","",IFERROR(INDEX('DM_NoiCongTac'!$B$2:$B$11,AGGREGATE(15,6,ROW('DM_NoiCongTac'!$B$2:$B$11)-ROW('DM_NoiCongTac'!$B$2)+1/ISNUMBER(SEARCH(SUBSTITUTE(UPPER($U143)," ",""),'DM_NoiCongTac'!$C$2:$C$11)),1)),"Không tìm thấy"))</f>
        <v/>
      </c>
      <c r="AF143" s="5">
        <f>IF($V143="","",IFERROR(INDEX('DM_XaPhuong'!$B$2:$B$169,AGGREGATE(15,6,ROW('DM_XaPhuong'!$B$2:$B$169)-ROW('DM_XaPhuong'!$B$2)+1/ISNUMBER(SEARCH(SUBSTITUTE(UPPER($V143)," ",""),'DM_XaPhuong'!$C$2:$C$169)),1)),"Không tìm thấy"))</f>
        <v/>
      </c>
    </row>
    <row r="144">
      <c r="C144" s="5">
        <f>IF($B144="","",IFERROR(INDEX('DM_DoiTuong'!$B$2:$B$19,AGGREGATE(15,6,ROW('DM_DoiTuong'!$B$2:$B$19)-ROW('DM_DoiTuong'!$B$2)+1/ISNUMBER(SEARCH(SUBSTITUTE(UPPER($B144)," ",""),'DM_DoiTuong'!$C$2:$C$19)),1)),"Không tìm thấy"))</f>
        <v/>
      </c>
      <c r="E144" s="5">
        <f>IF($C144="","",IFERROR(INDEX('DM_DiaDiemKham'!$B$2:$B$6,AGGREGATE(15,6,ROW('DM_DiaDiemKham'!$B$2:$B$6)-ROW('DM_DiaDiemKham'!$B$2)+1/ISNUMBER(SEARCH(SUBSTITUTE(UPPER($C144)," ",""),'DM_DiaDiemKham'!$C$2:$C$6)),1)),"Không tìm thấy"))</f>
        <v/>
      </c>
      <c r="G144" s="5">
        <f>IF($D144="","",IFERROR(INDEX('DM_HinhThucChiTra'!$B$2:$B$5,AGGREGATE(15,6,ROW('DM_HinhThucChiTra'!$B$2:$B$5)-ROW('DM_HinhThucChiTra'!$B$2)+1/ISNUMBER(SEARCH(SUBSTITUTE(UPPER($D144)," ",""),'DM_HinhThucChiTra'!$C$2:$C$5)),1)),"Không tìm thấy"))</f>
        <v/>
      </c>
      <c r="I144" s="5">
        <f>IF($E144="","",IFERROR(INDEX('DM_HinhThucKham'!$B$2:$B$3,AGGREGATE(15,6,ROW('DM_HinhThucKham'!$B$2:$B$3)-ROW('DM_HinhThucKham'!$B$2)+1/ISNUMBER(SEARCH(SUBSTITUTE(UPPER($E144)," ",""),'DM_HinhThucKham'!$C$2:$C$3)),1)),"Không tìm thấy"))</f>
        <v/>
      </c>
      <c r="P144" s="5">
        <f>IF($K144="","",IFERROR(INDEX('DM_DanToc'!$B$2:$B$78,AGGREGATE(15,6,ROW('DM_DanToc'!$B$2:$B$78)-ROW('DM_DanToc'!$B$2)+1/ISNUMBER(SEARCH(SUBSTITUTE(UPPER($K144)," ",""),'DM_DanToc'!$C$2:$C$78)),1)),"Không tìm thấy"))</f>
        <v/>
      </c>
      <c r="W144" s="5">
        <f>IF($Q144="","",IFERROR(INDEX('DM_TinhThanh'!$B$2:$B$35,AGGREGATE(15,6,ROW('DM_TinhThanh'!$B$2:$B$35)-ROW('DM_TinhThanh'!$B$2)+1/ISNUMBER(SEARCH(SUBSTITUTE(UPPER($Q144)," ",""),'DM_TinhThanh'!$C$2:$C$35)),1)),"Không tìm thấy"))</f>
        <v/>
      </c>
      <c r="Y144" s="5">
        <f>IF($R144="","",IFERROR(INDEX('DM_XaPhuong'!$B$2:$B$169,AGGREGATE(15,6,ROW('DM_XaPhuong'!$B$2:$B$169)-ROW('DM_XaPhuong'!$B$2)+1/ISNUMBER(SEARCH(SUBSTITUTE(UPPER($R144)," ",""),'DM_XaPhuong'!$C$2:$C$169)),1)),"Không tìm thấy"))</f>
        <v/>
      </c>
      <c r="AB144" s="5">
        <f>IF($T144="","",IFERROR(INDEX('DM_NgheNghiep'!$B$2:$B$11,AGGREGATE(15,6,ROW('DM_NgheNghiep'!$B$2:$B$11)-ROW('DM_NgheNghiep'!$B$2)+1/ISNUMBER(SEARCH(SUBSTITUTE(UPPER($T144)," ",""),'DM_NgheNghiep'!$C$2:$C$11)),1)),"Không tìm thấy"))</f>
        <v/>
      </c>
      <c r="AD144" s="5">
        <f>IF($U144="","",IFERROR(INDEX('DM_NoiCongTac'!$B$2:$B$11,AGGREGATE(15,6,ROW('DM_NoiCongTac'!$B$2:$B$11)-ROW('DM_NoiCongTac'!$B$2)+1/ISNUMBER(SEARCH(SUBSTITUTE(UPPER($U144)," ",""),'DM_NoiCongTac'!$C$2:$C$11)),1)),"Không tìm thấy"))</f>
        <v/>
      </c>
      <c r="AF144" s="5">
        <f>IF($V144="","",IFERROR(INDEX('DM_XaPhuong'!$B$2:$B$169,AGGREGATE(15,6,ROW('DM_XaPhuong'!$B$2:$B$169)-ROW('DM_XaPhuong'!$B$2)+1/ISNUMBER(SEARCH(SUBSTITUTE(UPPER($V144)," ",""),'DM_XaPhuong'!$C$2:$C$169)),1)),"Không tìm thấy"))</f>
        <v/>
      </c>
    </row>
    <row r="145">
      <c r="C145" s="5">
        <f>IF($B145="","",IFERROR(INDEX('DM_DoiTuong'!$B$2:$B$19,AGGREGATE(15,6,ROW('DM_DoiTuong'!$B$2:$B$19)-ROW('DM_DoiTuong'!$B$2)+1/ISNUMBER(SEARCH(SUBSTITUTE(UPPER($B145)," ",""),'DM_DoiTuong'!$C$2:$C$19)),1)),"Không tìm thấy"))</f>
        <v/>
      </c>
      <c r="E145" s="5">
        <f>IF($C145="","",IFERROR(INDEX('DM_DiaDiemKham'!$B$2:$B$6,AGGREGATE(15,6,ROW('DM_DiaDiemKham'!$B$2:$B$6)-ROW('DM_DiaDiemKham'!$B$2)+1/ISNUMBER(SEARCH(SUBSTITUTE(UPPER($C145)," ",""),'DM_DiaDiemKham'!$C$2:$C$6)),1)),"Không tìm thấy"))</f>
        <v/>
      </c>
      <c r="G145" s="5">
        <f>IF($D145="","",IFERROR(INDEX('DM_HinhThucChiTra'!$B$2:$B$5,AGGREGATE(15,6,ROW('DM_HinhThucChiTra'!$B$2:$B$5)-ROW('DM_HinhThucChiTra'!$B$2)+1/ISNUMBER(SEARCH(SUBSTITUTE(UPPER($D145)," ",""),'DM_HinhThucChiTra'!$C$2:$C$5)),1)),"Không tìm thấy"))</f>
        <v/>
      </c>
      <c r="I145" s="5">
        <f>IF($E145="","",IFERROR(INDEX('DM_HinhThucKham'!$B$2:$B$3,AGGREGATE(15,6,ROW('DM_HinhThucKham'!$B$2:$B$3)-ROW('DM_HinhThucKham'!$B$2)+1/ISNUMBER(SEARCH(SUBSTITUTE(UPPER($E145)," ",""),'DM_HinhThucKham'!$C$2:$C$3)),1)),"Không tìm thấy"))</f>
        <v/>
      </c>
      <c r="P145" s="5">
        <f>IF($K145="","",IFERROR(INDEX('DM_DanToc'!$B$2:$B$78,AGGREGATE(15,6,ROW('DM_DanToc'!$B$2:$B$78)-ROW('DM_DanToc'!$B$2)+1/ISNUMBER(SEARCH(SUBSTITUTE(UPPER($K145)," ",""),'DM_DanToc'!$C$2:$C$78)),1)),"Không tìm thấy"))</f>
        <v/>
      </c>
      <c r="W145" s="5">
        <f>IF($Q145="","",IFERROR(INDEX('DM_TinhThanh'!$B$2:$B$35,AGGREGATE(15,6,ROW('DM_TinhThanh'!$B$2:$B$35)-ROW('DM_TinhThanh'!$B$2)+1/ISNUMBER(SEARCH(SUBSTITUTE(UPPER($Q145)," ",""),'DM_TinhThanh'!$C$2:$C$35)),1)),"Không tìm thấy"))</f>
        <v/>
      </c>
      <c r="Y145" s="5">
        <f>IF($R145="","",IFERROR(INDEX('DM_XaPhuong'!$B$2:$B$169,AGGREGATE(15,6,ROW('DM_XaPhuong'!$B$2:$B$169)-ROW('DM_XaPhuong'!$B$2)+1/ISNUMBER(SEARCH(SUBSTITUTE(UPPER($R145)," ",""),'DM_XaPhuong'!$C$2:$C$169)),1)),"Không tìm thấy"))</f>
        <v/>
      </c>
      <c r="AB145" s="5">
        <f>IF($T145="","",IFERROR(INDEX('DM_NgheNghiep'!$B$2:$B$11,AGGREGATE(15,6,ROW('DM_NgheNghiep'!$B$2:$B$11)-ROW('DM_NgheNghiep'!$B$2)+1/ISNUMBER(SEARCH(SUBSTITUTE(UPPER($T145)," ",""),'DM_NgheNghiep'!$C$2:$C$11)),1)),"Không tìm thấy"))</f>
        <v/>
      </c>
      <c r="AD145" s="5">
        <f>IF($U145="","",IFERROR(INDEX('DM_NoiCongTac'!$B$2:$B$11,AGGREGATE(15,6,ROW('DM_NoiCongTac'!$B$2:$B$11)-ROW('DM_NoiCongTac'!$B$2)+1/ISNUMBER(SEARCH(SUBSTITUTE(UPPER($U145)," ",""),'DM_NoiCongTac'!$C$2:$C$11)),1)),"Không tìm thấy"))</f>
        <v/>
      </c>
      <c r="AF145" s="5">
        <f>IF($V145="","",IFERROR(INDEX('DM_XaPhuong'!$B$2:$B$169,AGGREGATE(15,6,ROW('DM_XaPhuong'!$B$2:$B$169)-ROW('DM_XaPhuong'!$B$2)+1/ISNUMBER(SEARCH(SUBSTITUTE(UPPER($V145)," ",""),'DM_XaPhuong'!$C$2:$C$169)),1)),"Không tìm thấy"))</f>
        <v/>
      </c>
    </row>
    <row r="146">
      <c r="C146" s="5">
        <f>IF($B146="","",IFERROR(INDEX('DM_DoiTuong'!$B$2:$B$19,AGGREGATE(15,6,ROW('DM_DoiTuong'!$B$2:$B$19)-ROW('DM_DoiTuong'!$B$2)+1/ISNUMBER(SEARCH(SUBSTITUTE(UPPER($B146)," ",""),'DM_DoiTuong'!$C$2:$C$19)),1)),"Không tìm thấy"))</f>
        <v/>
      </c>
      <c r="E146" s="5">
        <f>IF($C146="","",IFERROR(INDEX('DM_DiaDiemKham'!$B$2:$B$6,AGGREGATE(15,6,ROW('DM_DiaDiemKham'!$B$2:$B$6)-ROW('DM_DiaDiemKham'!$B$2)+1/ISNUMBER(SEARCH(SUBSTITUTE(UPPER($C146)," ",""),'DM_DiaDiemKham'!$C$2:$C$6)),1)),"Không tìm thấy"))</f>
        <v/>
      </c>
      <c r="G146" s="5">
        <f>IF($D146="","",IFERROR(INDEX('DM_HinhThucChiTra'!$B$2:$B$5,AGGREGATE(15,6,ROW('DM_HinhThucChiTra'!$B$2:$B$5)-ROW('DM_HinhThucChiTra'!$B$2)+1/ISNUMBER(SEARCH(SUBSTITUTE(UPPER($D146)," ",""),'DM_HinhThucChiTra'!$C$2:$C$5)),1)),"Không tìm thấy"))</f>
        <v/>
      </c>
      <c r="I146" s="5">
        <f>IF($E146="","",IFERROR(INDEX('DM_HinhThucKham'!$B$2:$B$3,AGGREGATE(15,6,ROW('DM_HinhThucKham'!$B$2:$B$3)-ROW('DM_HinhThucKham'!$B$2)+1/ISNUMBER(SEARCH(SUBSTITUTE(UPPER($E146)," ",""),'DM_HinhThucKham'!$C$2:$C$3)),1)),"Không tìm thấy"))</f>
        <v/>
      </c>
      <c r="P146" s="5">
        <f>IF($K146="","",IFERROR(INDEX('DM_DanToc'!$B$2:$B$78,AGGREGATE(15,6,ROW('DM_DanToc'!$B$2:$B$78)-ROW('DM_DanToc'!$B$2)+1/ISNUMBER(SEARCH(SUBSTITUTE(UPPER($K146)," ",""),'DM_DanToc'!$C$2:$C$78)),1)),"Không tìm thấy"))</f>
        <v/>
      </c>
      <c r="W146" s="5">
        <f>IF($Q146="","",IFERROR(INDEX('DM_TinhThanh'!$B$2:$B$35,AGGREGATE(15,6,ROW('DM_TinhThanh'!$B$2:$B$35)-ROW('DM_TinhThanh'!$B$2)+1/ISNUMBER(SEARCH(SUBSTITUTE(UPPER($Q146)," ",""),'DM_TinhThanh'!$C$2:$C$35)),1)),"Không tìm thấy"))</f>
        <v/>
      </c>
      <c r="Y146" s="5">
        <f>IF($R146="","",IFERROR(INDEX('DM_XaPhuong'!$B$2:$B$169,AGGREGATE(15,6,ROW('DM_XaPhuong'!$B$2:$B$169)-ROW('DM_XaPhuong'!$B$2)+1/ISNUMBER(SEARCH(SUBSTITUTE(UPPER($R146)," ",""),'DM_XaPhuong'!$C$2:$C$169)),1)),"Không tìm thấy"))</f>
        <v/>
      </c>
      <c r="AB146" s="5">
        <f>IF($T146="","",IFERROR(INDEX('DM_NgheNghiep'!$B$2:$B$11,AGGREGATE(15,6,ROW('DM_NgheNghiep'!$B$2:$B$11)-ROW('DM_NgheNghiep'!$B$2)+1/ISNUMBER(SEARCH(SUBSTITUTE(UPPER($T146)," ",""),'DM_NgheNghiep'!$C$2:$C$11)),1)),"Không tìm thấy"))</f>
        <v/>
      </c>
      <c r="AD146" s="5">
        <f>IF($U146="","",IFERROR(INDEX('DM_NoiCongTac'!$B$2:$B$11,AGGREGATE(15,6,ROW('DM_NoiCongTac'!$B$2:$B$11)-ROW('DM_NoiCongTac'!$B$2)+1/ISNUMBER(SEARCH(SUBSTITUTE(UPPER($U146)," ",""),'DM_NoiCongTac'!$C$2:$C$11)),1)),"Không tìm thấy"))</f>
        <v/>
      </c>
      <c r="AF146" s="5">
        <f>IF($V146="","",IFERROR(INDEX('DM_XaPhuong'!$B$2:$B$169,AGGREGATE(15,6,ROW('DM_XaPhuong'!$B$2:$B$169)-ROW('DM_XaPhuong'!$B$2)+1/ISNUMBER(SEARCH(SUBSTITUTE(UPPER($V146)," ",""),'DM_XaPhuong'!$C$2:$C$169)),1)),"Không tìm thấy"))</f>
        <v/>
      </c>
    </row>
    <row r="147">
      <c r="C147" s="5">
        <f>IF($B147="","",IFERROR(INDEX('DM_DoiTuong'!$B$2:$B$19,AGGREGATE(15,6,ROW('DM_DoiTuong'!$B$2:$B$19)-ROW('DM_DoiTuong'!$B$2)+1/ISNUMBER(SEARCH(SUBSTITUTE(UPPER($B147)," ",""),'DM_DoiTuong'!$C$2:$C$19)),1)),"Không tìm thấy"))</f>
        <v/>
      </c>
      <c r="E147" s="5">
        <f>IF($C147="","",IFERROR(INDEX('DM_DiaDiemKham'!$B$2:$B$6,AGGREGATE(15,6,ROW('DM_DiaDiemKham'!$B$2:$B$6)-ROW('DM_DiaDiemKham'!$B$2)+1/ISNUMBER(SEARCH(SUBSTITUTE(UPPER($C147)," ",""),'DM_DiaDiemKham'!$C$2:$C$6)),1)),"Không tìm thấy"))</f>
        <v/>
      </c>
      <c r="G147" s="5">
        <f>IF($D147="","",IFERROR(INDEX('DM_HinhThucChiTra'!$B$2:$B$5,AGGREGATE(15,6,ROW('DM_HinhThucChiTra'!$B$2:$B$5)-ROW('DM_HinhThucChiTra'!$B$2)+1/ISNUMBER(SEARCH(SUBSTITUTE(UPPER($D147)," ",""),'DM_HinhThucChiTra'!$C$2:$C$5)),1)),"Không tìm thấy"))</f>
        <v/>
      </c>
      <c r="I147" s="5">
        <f>IF($E147="","",IFERROR(INDEX('DM_HinhThucKham'!$B$2:$B$3,AGGREGATE(15,6,ROW('DM_HinhThucKham'!$B$2:$B$3)-ROW('DM_HinhThucKham'!$B$2)+1/ISNUMBER(SEARCH(SUBSTITUTE(UPPER($E147)," ",""),'DM_HinhThucKham'!$C$2:$C$3)),1)),"Không tìm thấy"))</f>
        <v/>
      </c>
      <c r="P147" s="5">
        <f>IF($K147="","",IFERROR(INDEX('DM_DanToc'!$B$2:$B$78,AGGREGATE(15,6,ROW('DM_DanToc'!$B$2:$B$78)-ROW('DM_DanToc'!$B$2)+1/ISNUMBER(SEARCH(SUBSTITUTE(UPPER($K147)," ",""),'DM_DanToc'!$C$2:$C$78)),1)),"Không tìm thấy"))</f>
        <v/>
      </c>
      <c r="W147" s="5">
        <f>IF($Q147="","",IFERROR(INDEX('DM_TinhThanh'!$B$2:$B$35,AGGREGATE(15,6,ROW('DM_TinhThanh'!$B$2:$B$35)-ROW('DM_TinhThanh'!$B$2)+1/ISNUMBER(SEARCH(SUBSTITUTE(UPPER($Q147)," ",""),'DM_TinhThanh'!$C$2:$C$35)),1)),"Không tìm thấy"))</f>
        <v/>
      </c>
      <c r="Y147" s="5">
        <f>IF($R147="","",IFERROR(INDEX('DM_XaPhuong'!$B$2:$B$169,AGGREGATE(15,6,ROW('DM_XaPhuong'!$B$2:$B$169)-ROW('DM_XaPhuong'!$B$2)+1/ISNUMBER(SEARCH(SUBSTITUTE(UPPER($R147)," ",""),'DM_XaPhuong'!$C$2:$C$169)),1)),"Không tìm thấy"))</f>
        <v/>
      </c>
      <c r="AB147" s="5">
        <f>IF($T147="","",IFERROR(INDEX('DM_NgheNghiep'!$B$2:$B$11,AGGREGATE(15,6,ROW('DM_NgheNghiep'!$B$2:$B$11)-ROW('DM_NgheNghiep'!$B$2)+1/ISNUMBER(SEARCH(SUBSTITUTE(UPPER($T147)," ",""),'DM_NgheNghiep'!$C$2:$C$11)),1)),"Không tìm thấy"))</f>
        <v/>
      </c>
      <c r="AD147" s="5">
        <f>IF($U147="","",IFERROR(INDEX('DM_NoiCongTac'!$B$2:$B$11,AGGREGATE(15,6,ROW('DM_NoiCongTac'!$B$2:$B$11)-ROW('DM_NoiCongTac'!$B$2)+1/ISNUMBER(SEARCH(SUBSTITUTE(UPPER($U147)," ",""),'DM_NoiCongTac'!$C$2:$C$11)),1)),"Không tìm thấy"))</f>
        <v/>
      </c>
      <c r="AF147" s="5">
        <f>IF($V147="","",IFERROR(INDEX('DM_XaPhuong'!$B$2:$B$169,AGGREGATE(15,6,ROW('DM_XaPhuong'!$B$2:$B$169)-ROW('DM_XaPhuong'!$B$2)+1/ISNUMBER(SEARCH(SUBSTITUTE(UPPER($V147)," ",""),'DM_XaPhuong'!$C$2:$C$169)),1)),"Không tìm thấy"))</f>
        <v/>
      </c>
    </row>
    <row r="148">
      <c r="C148" s="5">
        <f>IF($B148="","",IFERROR(INDEX('DM_DoiTuong'!$B$2:$B$19,AGGREGATE(15,6,ROW('DM_DoiTuong'!$B$2:$B$19)-ROW('DM_DoiTuong'!$B$2)+1/ISNUMBER(SEARCH(SUBSTITUTE(UPPER($B148)," ",""),'DM_DoiTuong'!$C$2:$C$19)),1)),"Không tìm thấy"))</f>
        <v/>
      </c>
      <c r="E148" s="5">
        <f>IF($C148="","",IFERROR(INDEX('DM_DiaDiemKham'!$B$2:$B$6,AGGREGATE(15,6,ROW('DM_DiaDiemKham'!$B$2:$B$6)-ROW('DM_DiaDiemKham'!$B$2)+1/ISNUMBER(SEARCH(SUBSTITUTE(UPPER($C148)," ",""),'DM_DiaDiemKham'!$C$2:$C$6)),1)),"Không tìm thấy"))</f>
        <v/>
      </c>
      <c r="G148" s="5">
        <f>IF($D148="","",IFERROR(INDEX('DM_HinhThucChiTra'!$B$2:$B$5,AGGREGATE(15,6,ROW('DM_HinhThucChiTra'!$B$2:$B$5)-ROW('DM_HinhThucChiTra'!$B$2)+1/ISNUMBER(SEARCH(SUBSTITUTE(UPPER($D148)," ",""),'DM_HinhThucChiTra'!$C$2:$C$5)),1)),"Không tìm thấy"))</f>
        <v/>
      </c>
      <c r="I148" s="5">
        <f>IF($E148="","",IFERROR(INDEX('DM_HinhThucKham'!$B$2:$B$3,AGGREGATE(15,6,ROW('DM_HinhThucKham'!$B$2:$B$3)-ROW('DM_HinhThucKham'!$B$2)+1/ISNUMBER(SEARCH(SUBSTITUTE(UPPER($E148)," ",""),'DM_HinhThucKham'!$C$2:$C$3)),1)),"Không tìm thấy"))</f>
        <v/>
      </c>
      <c r="P148" s="5">
        <f>IF($K148="","",IFERROR(INDEX('DM_DanToc'!$B$2:$B$78,AGGREGATE(15,6,ROW('DM_DanToc'!$B$2:$B$78)-ROW('DM_DanToc'!$B$2)+1/ISNUMBER(SEARCH(SUBSTITUTE(UPPER($K148)," ",""),'DM_DanToc'!$C$2:$C$78)),1)),"Không tìm thấy"))</f>
        <v/>
      </c>
      <c r="W148" s="5">
        <f>IF($Q148="","",IFERROR(INDEX('DM_TinhThanh'!$B$2:$B$35,AGGREGATE(15,6,ROW('DM_TinhThanh'!$B$2:$B$35)-ROW('DM_TinhThanh'!$B$2)+1/ISNUMBER(SEARCH(SUBSTITUTE(UPPER($Q148)," ",""),'DM_TinhThanh'!$C$2:$C$35)),1)),"Không tìm thấy"))</f>
        <v/>
      </c>
      <c r="Y148" s="5">
        <f>IF($R148="","",IFERROR(INDEX('DM_XaPhuong'!$B$2:$B$169,AGGREGATE(15,6,ROW('DM_XaPhuong'!$B$2:$B$169)-ROW('DM_XaPhuong'!$B$2)+1/ISNUMBER(SEARCH(SUBSTITUTE(UPPER($R148)," ",""),'DM_XaPhuong'!$C$2:$C$169)),1)),"Không tìm thấy"))</f>
        <v/>
      </c>
      <c r="AB148" s="5">
        <f>IF($T148="","",IFERROR(INDEX('DM_NgheNghiep'!$B$2:$B$11,AGGREGATE(15,6,ROW('DM_NgheNghiep'!$B$2:$B$11)-ROW('DM_NgheNghiep'!$B$2)+1/ISNUMBER(SEARCH(SUBSTITUTE(UPPER($T148)," ",""),'DM_NgheNghiep'!$C$2:$C$11)),1)),"Không tìm thấy"))</f>
        <v/>
      </c>
      <c r="AD148" s="5">
        <f>IF($U148="","",IFERROR(INDEX('DM_NoiCongTac'!$B$2:$B$11,AGGREGATE(15,6,ROW('DM_NoiCongTac'!$B$2:$B$11)-ROW('DM_NoiCongTac'!$B$2)+1/ISNUMBER(SEARCH(SUBSTITUTE(UPPER($U148)," ",""),'DM_NoiCongTac'!$C$2:$C$11)),1)),"Không tìm thấy"))</f>
        <v/>
      </c>
      <c r="AF148" s="5">
        <f>IF($V148="","",IFERROR(INDEX('DM_XaPhuong'!$B$2:$B$169,AGGREGATE(15,6,ROW('DM_XaPhuong'!$B$2:$B$169)-ROW('DM_XaPhuong'!$B$2)+1/ISNUMBER(SEARCH(SUBSTITUTE(UPPER($V148)," ",""),'DM_XaPhuong'!$C$2:$C$169)),1)),"Không tìm thấy"))</f>
        <v/>
      </c>
    </row>
    <row r="149">
      <c r="C149" s="5">
        <f>IF($B149="","",IFERROR(INDEX('DM_DoiTuong'!$B$2:$B$19,AGGREGATE(15,6,ROW('DM_DoiTuong'!$B$2:$B$19)-ROW('DM_DoiTuong'!$B$2)+1/ISNUMBER(SEARCH(SUBSTITUTE(UPPER($B149)," ",""),'DM_DoiTuong'!$C$2:$C$19)),1)),"Không tìm thấy"))</f>
        <v/>
      </c>
      <c r="E149" s="5">
        <f>IF($C149="","",IFERROR(INDEX('DM_DiaDiemKham'!$B$2:$B$6,AGGREGATE(15,6,ROW('DM_DiaDiemKham'!$B$2:$B$6)-ROW('DM_DiaDiemKham'!$B$2)+1/ISNUMBER(SEARCH(SUBSTITUTE(UPPER($C149)," ",""),'DM_DiaDiemKham'!$C$2:$C$6)),1)),"Không tìm thấy"))</f>
        <v/>
      </c>
      <c r="G149" s="5">
        <f>IF($D149="","",IFERROR(INDEX('DM_HinhThucChiTra'!$B$2:$B$5,AGGREGATE(15,6,ROW('DM_HinhThucChiTra'!$B$2:$B$5)-ROW('DM_HinhThucChiTra'!$B$2)+1/ISNUMBER(SEARCH(SUBSTITUTE(UPPER($D149)," ",""),'DM_HinhThucChiTra'!$C$2:$C$5)),1)),"Không tìm thấy"))</f>
        <v/>
      </c>
      <c r="I149" s="5">
        <f>IF($E149="","",IFERROR(INDEX('DM_HinhThucKham'!$B$2:$B$3,AGGREGATE(15,6,ROW('DM_HinhThucKham'!$B$2:$B$3)-ROW('DM_HinhThucKham'!$B$2)+1/ISNUMBER(SEARCH(SUBSTITUTE(UPPER($E149)," ",""),'DM_HinhThucKham'!$C$2:$C$3)),1)),"Không tìm thấy"))</f>
        <v/>
      </c>
      <c r="P149" s="5">
        <f>IF($K149="","",IFERROR(INDEX('DM_DanToc'!$B$2:$B$78,AGGREGATE(15,6,ROW('DM_DanToc'!$B$2:$B$78)-ROW('DM_DanToc'!$B$2)+1/ISNUMBER(SEARCH(SUBSTITUTE(UPPER($K149)," ",""),'DM_DanToc'!$C$2:$C$78)),1)),"Không tìm thấy"))</f>
        <v/>
      </c>
      <c r="W149" s="5">
        <f>IF($Q149="","",IFERROR(INDEX('DM_TinhThanh'!$B$2:$B$35,AGGREGATE(15,6,ROW('DM_TinhThanh'!$B$2:$B$35)-ROW('DM_TinhThanh'!$B$2)+1/ISNUMBER(SEARCH(SUBSTITUTE(UPPER($Q149)," ",""),'DM_TinhThanh'!$C$2:$C$35)),1)),"Không tìm thấy"))</f>
        <v/>
      </c>
      <c r="Y149" s="5">
        <f>IF($R149="","",IFERROR(INDEX('DM_XaPhuong'!$B$2:$B$169,AGGREGATE(15,6,ROW('DM_XaPhuong'!$B$2:$B$169)-ROW('DM_XaPhuong'!$B$2)+1/ISNUMBER(SEARCH(SUBSTITUTE(UPPER($R149)," ",""),'DM_XaPhuong'!$C$2:$C$169)),1)),"Không tìm thấy"))</f>
        <v/>
      </c>
      <c r="AB149" s="5">
        <f>IF($T149="","",IFERROR(INDEX('DM_NgheNghiep'!$B$2:$B$11,AGGREGATE(15,6,ROW('DM_NgheNghiep'!$B$2:$B$11)-ROW('DM_NgheNghiep'!$B$2)+1/ISNUMBER(SEARCH(SUBSTITUTE(UPPER($T149)," ",""),'DM_NgheNghiep'!$C$2:$C$11)),1)),"Không tìm thấy"))</f>
        <v/>
      </c>
      <c r="AD149" s="5">
        <f>IF($U149="","",IFERROR(INDEX('DM_NoiCongTac'!$B$2:$B$11,AGGREGATE(15,6,ROW('DM_NoiCongTac'!$B$2:$B$11)-ROW('DM_NoiCongTac'!$B$2)+1/ISNUMBER(SEARCH(SUBSTITUTE(UPPER($U149)," ",""),'DM_NoiCongTac'!$C$2:$C$11)),1)),"Không tìm thấy"))</f>
        <v/>
      </c>
      <c r="AF149" s="5">
        <f>IF($V149="","",IFERROR(INDEX('DM_XaPhuong'!$B$2:$B$169,AGGREGATE(15,6,ROW('DM_XaPhuong'!$B$2:$B$169)-ROW('DM_XaPhuong'!$B$2)+1/ISNUMBER(SEARCH(SUBSTITUTE(UPPER($V149)," ",""),'DM_XaPhuong'!$C$2:$C$169)),1)),"Không tìm thấy"))</f>
        <v/>
      </c>
    </row>
    <row r="150">
      <c r="C150" s="5">
        <f>IF($B150="","",IFERROR(INDEX('DM_DoiTuong'!$B$2:$B$19,AGGREGATE(15,6,ROW('DM_DoiTuong'!$B$2:$B$19)-ROW('DM_DoiTuong'!$B$2)+1/ISNUMBER(SEARCH(SUBSTITUTE(UPPER($B150)," ",""),'DM_DoiTuong'!$C$2:$C$19)),1)),"Không tìm thấy"))</f>
        <v/>
      </c>
      <c r="E150" s="5">
        <f>IF($C150="","",IFERROR(INDEX('DM_DiaDiemKham'!$B$2:$B$6,AGGREGATE(15,6,ROW('DM_DiaDiemKham'!$B$2:$B$6)-ROW('DM_DiaDiemKham'!$B$2)+1/ISNUMBER(SEARCH(SUBSTITUTE(UPPER($C150)," ",""),'DM_DiaDiemKham'!$C$2:$C$6)),1)),"Không tìm thấy"))</f>
        <v/>
      </c>
      <c r="G150" s="5">
        <f>IF($D150="","",IFERROR(INDEX('DM_HinhThucChiTra'!$B$2:$B$5,AGGREGATE(15,6,ROW('DM_HinhThucChiTra'!$B$2:$B$5)-ROW('DM_HinhThucChiTra'!$B$2)+1/ISNUMBER(SEARCH(SUBSTITUTE(UPPER($D150)," ",""),'DM_HinhThucChiTra'!$C$2:$C$5)),1)),"Không tìm thấy"))</f>
        <v/>
      </c>
      <c r="I150" s="5">
        <f>IF($E150="","",IFERROR(INDEX('DM_HinhThucKham'!$B$2:$B$3,AGGREGATE(15,6,ROW('DM_HinhThucKham'!$B$2:$B$3)-ROW('DM_HinhThucKham'!$B$2)+1/ISNUMBER(SEARCH(SUBSTITUTE(UPPER($E150)," ",""),'DM_HinhThucKham'!$C$2:$C$3)),1)),"Không tìm thấy"))</f>
        <v/>
      </c>
      <c r="P150" s="5">
        <f>IF($K150="","",IFERROR(INDEX('DM_DanToc'!$B$2:$B$78,AGGREGATE(15,6,ROW('DM_DanToc'!$B$2:$B$78)-ROW('DM_DanToc'!$B$2)+1/ISNUMBER(SEARCH(SUBSTITUTE(UPPER($K150)," ",""),'DM_DanToc'!$C$2:$C$78)),1)),"Không tìm thấy"))</f>
        <v/>
      </c>
      <c r="W150" s="5">
        <f>IF($Q150="","",IFERROR(INDEX('DM_TinhThanh'!$B$2:$B$35,AGGREGATE(15,6,ROW('DM_TinhThanh'!$B$2:$B$35)-ROW('DM_TinhThanh'!$B$2)+1/ISNUMBER(SEARCH(SUBSTITUTE(UPPER($Q150)," ",""),'DM_TinhThanh'!$C$2:$C$35)),1)),"Không tìm thấy"))</f>
        <v/>
      </c>
      <c r="Y150" s="5">
        <f>IF($R150="","",IFERROR(INDEX('DM_XaPhuong'!$B$2:$B$169,AGGREGATE(15,6,ROW('DM_XaPhuong'!$B$2:$B$169)-ROW('DM_XaPhuong'!$B$2)+1/ISNUMBER(SEARCH(SUBSTITUTE(UPPER($R150)," ",""),'DM_XaPhuong'!$C$2:$C$169)),1)),"Không tìm thấy"))</f>
        <v/>
      </c>
      <c r="AB150" s="5">
        <f>IF($T150="","",IFERROR(INDEX('DM_NgheNghiep'!$B$2:$B$11,AGGREGATE(15,6,ROW('DM_NgheNghiep'!$B$2:$B$11)-ROW('DM_NgheNghiep'!$B$2)+1/ISNUMBER(SEARCH(SUBSTITUTE(UPPER($T150)," ",""),'DM_NgheNghiep'!$C$2:$C$11)),1)),"Không tìm thấy"))</f>
        <v/>
      </c>
      <c r="AD150" s="5">
        <f>IF($U150="","",IFERROR(INDEX('DM_NoiCongTac'!$B$2:$B$11,AGGREGATE(15,6,ROW('DM_NoiCongTac'!$B$2:$B$11)-ROW('DM_NoiCongTac'!$B$2)+1/ISNUMBER(SEARCH(SUBSTITUTE(UPPER($U150)," ",""),'DM_NoiCongTac'!$C$2:$C$11)),1)),"Không tìm thấy"))</f>
        <v/>
      </c>
      <c r="AF150" s="5">
        <f>IF($V150="","",IFERROR(INDEX('DM_XaPhuong'!$B$2:$B$169,AGGREGATE(15,6,ROW('DM_XaPhuong'!$B$2:$B$169)-ROW('DM_XaPhuong'!$B$2)+1/ISNUMBER(SEARCH(SUBSTITUTE(UPPER($V150)," ",""),'DM_XaPhuong'!$C$2:$C$169)),1)),"Không tìm thấy"))</f>
        <v/>
      </c>
    </row>
    <row r="151">
      <c r="C151" s="5">
        <f>IF($B151="","",IFERROR(INDEX('DM_DoiTuong'!$B$2:$B$19,AGGREGATE(15,6,ROW('DM_DoiTuong'!$B$2:$B$19)-ROW('DM_DoiTuong'!$B$2)+1/ISNUMBER(SEARCH(SUBSTITUTE(UPPER($B151)," ",""),'DM_DoiTuong'!$C$2:$C$19)),1)),"Không tìm thấy"))</f>
        <v/>
      </c>
      <c r="E151" s="5">
        <f>IF($C151="","",IFERROR(INDEX('DM_DiaDiemKham'!$B$2:$B$6,AGGREGATE(15,6,ROW('DM_DiaDiemKham'!$B$2:$B$6)-ROW('DM_DiaDiemKham'!$B$2)+1/ISNUMBER(SEARCH(SUBSTITUTE(UPPER($C151)," ",""),'DM_DiaDiemKham'!$C$2:$C$6)),1)),"Không tìm thấy"))</f>
        <v/>
      </c>
      <c r="G151" s="5">
        <f>IF($D151="","",IFERROR(INDEX('DM_HinhThucChiTra'!$B$2:$B$5,AGGREGATE(15,6,ROW('DM_HinhThucChiTra'!$B$2:$B$5)-ROW('DM_HinhThucChiTra'!$B$2)+1/ISNUMBER(SEARCH(SUBSTITUTE(UPPER($D151)," ",""),'DM_HinhThucChiTra'!$C$2:$C$5)),1)),"Không tìm thấy"))</f>
        <v/>
      </c>
      <c r="I151" s="5">
        <f>IF($E151="","",IFERROR(INDEX('DM_HinhThucKham'!$B$2:$B$3,AGGREGATE(15,6,ROW('DM_HinhThucKham'!$B$2:$B$3)-ROW('DM_HinhThucKham'!$B$2)+1/ISNUMBER(SEARCH(SUBSTITUTE(UPPER($E151)," ",""),'DM_HinhThucKham'!$C$2:$C$3)),1)),"Không tìm thấy"))</f>
        <v/>
      </c>
      <c r="P151" s="5">
        <f>IF($K151="","",IFERROR(INDEX('DM_DanToc'!$B$2:$B$78,AGGREGATE(15,6,ROW('DM_DanToc'!$B$2:$B$78)-ROW('DM_DanToc'!$B$2)+1/ISNUMBER(SEARCH(SUBSTITUTE(UPPER($K151)," ",""),'DM_DanToc'!$C$2:$C$78)),1)),"Không tìm thấy"))</f>
        <v/>
      </c>
      <c r="W151" s="5">
        <f>IF($Q151="","",IFERROR(INDEX('DM_TinhThanh'!$B$2:$B$35,AGGREGATE(15,6,ROW('DM_TinhThanh'!$B$2:$B$35)-ROW('DM_TinhThanh'!$B$2)+1/ISNUMBER(SEARCH(SUBSTITUTE(UPPER($Q151)," ",""),'DM_TinhThanh'!$C$2:$C$35)),1)),"Không tìm thấy"))</f>
        <v/>
      </c>
      <c r="Y151" s="5">
        <f>IF($R151="","",IFERROR(INDEX('DM_XaPhuong'!$B$2:$B$169,AGGREGATE(15,6,ROW('DM_XaPhuong'!$B$2:$B$169)-ROW('DM_XaPhuong'!$B$2)+1/ISNUMBER(SEARCH(SUBSTITUTE(UPPER($R151)," ",""),'DM_XaPhuong'!$C$2:$C$169)),1)),"Không tìm thấy"))</f>
        <v/>
      </c>
      <c r="AB151" s="5">
        <f>IF($T151="","",IFERROR(INDEX('DM_NgheNghiep'!$B$2:$B$11,AGGREGATE(15,6,ROW('DM_NgheNghiep'!$B$2:$B$11)-ROW('DM_NgheNghiep'!$B$2)+1/ISNUMBER(SEARCH(SUBSTITUTE(UPPER($T151)," ",""),'DM_NgheNghiep'!$C$2:$C$11)),1)),"Không tìm thấy"))</f>
        <v/>
      </c>
      <c r="AD151" s="5">
        <f>IF($U151="","",IFERROR(INDEX('DM_NoiCongTac'!$B$2:$B$11,AGGREGATE(15,6,ROW('DM_NoiCongTac'!$B$2:$B$11)-ROW('DM_NoiCongTac'!$B$2)+1/ISNUMBER(SEARCH(SUBSTITUTE(UPPER($U151)," ",""),'DM_NoiCongTac'!$C$2:$C$11)),1)),"Không tìm thấy"))</f>
        <v/>
      </c>
      <c r="AF151" s="5">
        <f>IF($V151="","",IFERROR(INDEX('DM_XaPhuong'!$B$2:$B$169,AGGREGATE(15,6,ROW('DM_XaPhuong'!$B$2:$B$169)-ROW('DM_XaPhuong'!$B$2)+1/ISNUMBER(SEARCH(SUBSTITUTE(UPPER($V151)," ",""),'DM_XaPhuong'!$C$2:$C$169)),1)),"Không tìm thấy"))</f>
        <v/>
      </c>
    </row>
    <row r="152">
      <c r="C152" s="5">
        <f>IF($B152="","",IFERROR(INDEX('DM_DoiTuong'!$B$2:$B$19,AGGREGATE(15,6,ROW('DM_DoiTuong'!$B$2:$B$19)-ROW('DM_DoiTuong'!$B$2)+1/ISNUMBER(SEARCH(SUBSTITUTE(UPPER($B152)," ",""),'DM_DoiTuong'!$C$2:$C$19)),1)),"Không tìm thấy"))</f>
        <v/>
      </c>
      <c r="E152" s="5">
        <f>IF($C152="","",IFERROR(INDEX('DM_DiaDiemKham'!$B$2:$B$6,AGGREGATE(15,6,ROW('DM_DiaDiemKham'!$B$2:$B$6)-ROW('DM_DiaDiemKham'!$B$2)+1/ISNUMBER(SEARCH(SUBSTITUTE(UPPER($C152)," ",""),'DM_DiaDiemKham'!$C$2:$C$6)),1)),"Không tìm thấy"))</f>
        <v/>
      </c>
      <c r="G152" s="5">
        <f>IF($D152="","",IFERROR(INDEX('DM_HinhThucChiTra'!$B$2:$B$5,AGGREGATE(15,6,ROW('DM_HinhThucChiTra'!$B$2:$B$5)-ROW('DM_HinhThucChiTra'!$B$2)+1/ISNUMBER(SEARCH(SUBSTITUTE(UPPER($D152)," ",""),'DM_HinhThucChiTra'!$C$2:$C$5)),1)),"Không tìm thấy"))</f>
        <v/>
      </c>
      <c r="I152" s="5">
        <f>IF($E152="","",IFERROR(INDEX('DM_HinhThucKham'!$B$2:$B$3,AGGREGATE(15,6,ROW('DM_HinhThucKham'!$B$2:$B$3)-ROW('DM_HinhThucKham'!$B$2)+1/ISNUMBER(SEARCH(SUBSTITUTE(UPPER($E152)," ",""),'DM_HinhThucKham'!$C$2:$C$3)),1)),"Không tìm thấy"))</f>
        <v/>
      </c>
      <c r="P152" s="5">
        <f>IF($K152="","",IFERROR(INDEX('DM_DanToc'!$B$2:$B$78,AGGREGATE(15,6,ROW('DM_DanToc'!$B$2:$B$78)-ROW('DM_DanToc'!$B$2)+1/ISNUMBER(SEARCH(SUBSTITUTE(UPPER($K152)," ",""),'DM_DanToc'!$C$2:$C$78)),1)),"Không tìm thấy"))</f>
        <v/>
      </c>
      <c r="W152" s="5">
        <f>IF($Q152="","",IFERROR(INDEX('DM_TinhThanh'!$B$2:$B$35,AGGREGATE(15,6,ROW('DM_TinhThanh'!$B$2:$B$35)-ROW('DM_TinhThanh'!$B$2)+1/ISNUMBER(SEARCH(SUBSTITUTE(UPPER($Q152)," ",""),'DM_TinhThanh'!$C$2:$C$35)),1)),"Không tìm thấy"))</f>
        <v/>
      </c>
      <c r="Y152" s="5">
        <f>IF($R152="","",IFERROR(INDEX('DM_XaPhuong'!$B$2:$B$169,AGGREGATE(15,6,ROW('DM_XaPhuong'!$B$2:$B$169)-ROW('DM_XaPhuong'!$B$2)+1/ISNUMBER(SEARCH(SUBSTITUTE(UPPER($R152)," ",""),'DM_XaPhuong'!$C$2:$C$169)),1)),"Không tìm thấy"))</f>
        <v/>
      </c>
      <c r="AB152" s="5">
        <f>IF($T152="","",IFERROR(INDEX('DM_NgheNghiep'!$B$2:$B$11,AGGREGATE(15,6,ROW('DM_NgheNghiep'!$B$2:$B$11)-ROW('DM_NgheNghiep'!$B$2)+1/ISNUMBER(SEARCH(SUBSTITUTE(UPPER($T152)," ",""),'DM_NgheNghiep'!$C$2:$C$11)),1)),"Không tìm thấy"))</f>
        <v/>
      </c>
      <c r="AD152" s="5">
        <f>IF($U152="","",IFERROR(INDEX('DM_NoiCongTac'!$B$2:$B$11,AGGREGATE(15,6,ROW('DM_NoiCongTac'!$B$2:$B$11)-ROW('DM_NoiCongTac'!$B$2)+1/ISNUMBER(SEARCH(SUBSTITUTE(UPPER($U152)," ",""),'DM_NoiCongTac'!$C$2:$C$11)),1)),"Không tìm thấy"))</f>
        <v/>
      </c>
      <c r="AF152" s="5">
        <f>IF($V152="","",IFERROR(INDEX('DM_XaPhuong'!$B$2:$B$169,AGGREGATE(15,6,ROW('DM_XaPhuong'!$B$2:$B$169)-ROW('DM_XaPhuong'!$B$2)+1/ISNUMBER(SEARCH(SUBSTITUTE(UPPER($V152)," ",""),'DM_XaPhuong'!$C$2:$C$169)),1)),"Không tìm thấy"))</f>
        <v/>
      </c>
    </row>
    <row r="153">
      <c r="C153" s="5">
        <f>IF($B153="","",IFERROR(INDEX('DM_DoiTuong'!$B$2:$B$19,AGGREGATE(15,6,ROW('DM_DoiTuong'!$B$2:$B$19)-ROW('DM_DoiTuong'!$B$2)+1/ISNUMBER(SEARCH(SUBSTITUTE(UPPER($B153)," ",""),'DM_DoiTuong'!$C$2:$C$19)),1)),"Không tìm thấy"))</f>
        <v/>
      </c>
      <c r="E153" s="5">
        <f>IF($C153="","",IFERROR(INDEX('DM_DiaDiemKham'!$B$2:$B$6,AGGREGATE(15,6,ROW('DM_DiaDiemKham'!$B$2:$B$6)-ROW('DM_DiaDiemKham'!$B$2)+1/ISNUMBER(SEARCH(SUBSTITUTE(UPPER($C153)," ",""),'DM_DiaDiemKham'!$C$2:$C$6)),1)),"Không tìm thấy"))</f>
        <v/>
      </c>
      <c r="G153" s="5">
        <f>IF($D153="","",IFERROR(INDEX('DM_HinhThucChiTra'!$B$2:$B$5,AGGREGATE(15,6,ROW('DM_HinhThucChiTra'!$B$2:$B$5)-ROW('DM_HinhThucChiTra'!$B$2)+1/ISNUMBER(SEARCH(SUBSTITUTE(UPPER($D153)," ",""),'DM_HinhThucChiTra'!$C$2:$C$5)),1)),"Không tìm thấy"))</f>
        <v/>
      </c>
      <c r="I153" s="5">
        <f>IF($E153="","",IFERROR(INDEX('DM_HinhThucKham'!$B$2:$B$3,AGGREGATE(15,6,ROW('DM_HinhThucKham'!$B$2:$B$3)-ROW('DM_HinhThucKham'!$B$2)+1/ISNUMBER(SEARCH(SUBSTITUTE(UPPER($E153)," ",""),'DM_HinhThucKham'!$C$2:$C$3)),1)),"Không tìm thấy"))</f>
        <v/>
      </c>
      <c r="P153" s="5">
        <f>IF($K153="","",IFERROR(INDEX('DM_DanToc'!$B$2:$B$78,AGGREGATE(15,6,ROW('DM_DanToc'!$B$2:$B$78)-ROW('DM_DanToc'!$B$2)+1/ISNUMBER(SEARCH(SUBSTITUTE(UPPER($K153)," ",""),'DM_DanToc'!$C$2:$C$78)),1)),"Không tìm thấy"))</f>
        <v/>
      </c>
      <c r="W153" s="5">
        <f>IF($Q153="","",IFERROR(INDEX('DM_TinhThanh'!$B$2:$B$35,AGGREGATE(15,6,ROW('DM_TinhThanh'!$B$2:$B$35)-ROW('DM_TinhThanh'!$B$2)+1/ISNUMBER(SEARCH(SUBSTITUTE(UPPER($Q153)," ",""),'DM_TinhThanh'!$C$2:$C$35)),1)),"Không tìm thấy"))</f>
        <v/>
      </c>
      <c r="Y153" s="5">
        <f>IF($R153="","",IFERROR(INDEX('DM_XaPhuong'!$B$2:$B$169,AGGREGATE(15,6,ROW('DM_XaPhuong'!$B$2:$B$169)-ROW('DM_XaPhuong'!$B$2)+1/ISNUMBER(SEARCH(SUBSTITUTE(UPPER($R153)," ",""),'DM_XaPhuong'!$C$2:$C$169)),1)),"Không tìm thấy"))</f>
        <v/>
      </c>
      <c r="AB153" s="5">
        <f>IF($T153="","",IFERROR(INDEX('DM_NgheNghiep'!$B$2:$B$11,AGGREGATE(15,6,ROW('DM_NgheNghiep'!$B$2:$B$11)-ROW('DM_NgheNghiep'!$B$2)+1/ISNUMBER(SEARCH(SUBSTITUTE(UPPER($T153)," ",""),'DM_NgheNghiep'!$C$2:$C$11)),1)),"Không tìm thấy"))</f>
        <v/>
      </c>
      <c r="AD153" s="5">
        <f>IF($U153="","",IFERROR(INDEX('DM_NoiCongTac'!$B$2:$B$11,AGGREGATE(15,6,ROW('DM_NoiCongTac'!$B$2:$B$11)-ROW('DM_NoiCongTac'!$B$2)+1/ISNUMBER(SEARCH(SUBSTITUTE(UPPER($U153)," ",""),'DM_NoiCongTac'!$C$2:$C$11)),1)),"Không tìm thấy"))</f>
        <v/>
      </c>
      <c r="AF153" s="5">
        <f>IF($V153="","",IFERROR(INDEX('DM_XaPhuong'!$B$2:$B$169,AGGREGATE(15,6,ROW('DM_XaPhuong'!$B$2:$B$169)-ROW('DM_XaPhuong'!$B$2)+1/ISNUMBER(SEARCH(SUBSTITUTE(UPPER($V153)," ",""),'DM_XaPhuong'!$C$2:$C$169)),1)),"Không tìm thấy"))</f>
        <v/>
      </c>
    </row>
    <row r="154">
      <c r="C154" s="5">
        <f>IF($B154="","",IFERROR(INDEX('DM_DoiTuong'!$B$2:$B$19,AGGREGATE(15,6,ROW('DM_DoiTuong'!$B$2:$B$19)-ROW('DM_DoiTuong'!$B$2)+1/ISNUMBER(SEARCH(SUBSTITUTE(UPPER($B154)," ",""),'DM_DoiTuong'!$C$2:$C$19)),1)),"Không tìm thấy"))</f>
        <v/>
      </c>
      <c r="E154" s="5">
        <f>IF($C154="","",IFERROR(INDEX('DM_DiaDiemKham'!$B$2:$B$6,AGGREGATE(15,6,ROW('DM_DiaDiemKham'!$B$2:$B$6)-ROW('DM_DiaDiemKham'!$B$2)+1/ISNUMBER(SEARCH(SUBSTITUTE(UPPER($C154)," ",""),'DM_DiaDiemKham'!$C$2:$C$6)),1)),"Không tìm thấy"))</f>
        <v/>
      </c>
      <c r="G154" s="5">
        <f>IF($D154="","",IFERROR(INDEX('DM_HinhThucChiTra'!$B$2:$B$5,AGGREGATE(15,6,ROW('DM_HinhThucChiTra'!$B$2:$B$5)-ROW('DM_HinhThucChiTra'!$B$2)+1/ISNUMBER(SEARCH(SUBSTITUTE(UPPER($D154)," ",""),'DM_HinhThucChiTra'!$C$2:$C$5)),1)),"Không tìm thấy"))</f>
        <v/>
      </c>
      <c r="I154" s="5">
        <f>IF($E154="","",IFERROR(INDEX('DM_HinhThucKham'!$B$2:$B$3,AGGREGATE(15,6,ROW('DM_HinhThucKham'!$B$2:$B$3)-ROW('DM_HinhThucKham'!$B$2)+1/ISNUMBER(SEARCH(SUBSTITUTE(UPPER($E154)," ",""),'DM_HinhThucKham'!$C$2:$C$3)),1)),"Không tìm thấy"))</f>
        <v/>
      </c>
      <c r="P154" s="5">
        <f>IF($K154="","",IFERROR(INDEX('DM_DanToc'!$B$2:$B$78,AGGREGATE(15,6,ROW('DM_DanToc'!$B$2:$B$78)-ROW('DM_DanToc'!$B$2)+1/ISNUMBER(SEARCH(SUBSTITUTE(UPPER($K154)," ",""),'DM_DanToc'!$C$2:$C$78)),1)),"Không tìm thấy"))</f>
        <v/>
      </c>
      <c r="W154" s="5">
        <f>IF($Q154="","",IFERROR(INDEX('DM_TinhThanh'!$B$2:$B$35,AGGREGATE(15,6,ROW('DM_TinhThanh'!$B$2:$B$35)-ROW('DM_TinhThanh'!$B$2)+1/ISNUMBER(SEARCH(SUBSTITUTE(UPPER($Q154)," ",""),'DM_TinhThanh'!$C$2:$C$35)),1)),"Không tìm thấy"))</f>
        <v/>
      </c>
      <c r="Y154" s="5">
        <f>IF($R154="","",IFERROR(INDEX('DM_XaPhuong'!$B$2:$B$169,AGGREGATE(15,6,ROW('DM_XaPhuong'!$B$2:$B$169)-ROW('DM_XaPhuong'!$B$2)+1/ISNUMBER(SEARCH(SUBSTITUTE(UPPER($R154)," ",""),'DM_XaPhuong'!$C$2:$C$169)),1)),"Không tìm thấy"))</f>
        <v/>
      </c>
      <c r="AB154" s="5">
        <f>IF($T154="","",IFERROR(INDEX('DM_NgheNghiep'!$B$2:$B$11,AGGREGATE(15,6,ROW('DM_NgheNghiep'!$B$2:$B$11)-ROW('DM_NgheNghiep'!$B$2)+1/ISNUMBER(SEARCH(SUBSTITUTE(UPPER($T154)," ",""),'DM_NgheNghiep'!$C$2:$C$11)),1)),"Không tìm thấy"))</f>
        <v/>
      </c>
      <c r="AD154" s="5">
        <f>IF($U154="","",IFERROR(INDEX('DM_NoiCongTac'!$B$2:$B$11,AGGREGATE(15,6,ROW('DM_NoiCongTac'!$B$2:$B$11)-ROW('DM_NoiCongTac'!$B$2)+1/ISNUMBER(SEARCH(SUBSTITUTE(UPPER($U154)," ",""),'DM_NoiCongTac'!$C$2:$C$11)),1)),"Không tìm thấy"))</f>
        <v/>
      </c>
      <c r="AF154" s="5">
        <f>IF($V154="","",IFERROR(INDEX('DM_XaPhuong'!$B$2:$B$169,AGGREGATE(15,6,ROW('DM_XaPhuong'!$B$2:$B$169)-ROW('DM_XaPhuong'!$B$2)+1/ISNUMBER(SEARCH(SUBSTITUTE(UPPER($V154)," ",""),'DM_XaPhuong'!$C$2:$C$169)),1)),"Không tìm thấy"))</f>
        <v/>
      </c>
    </row>
    <row r="155">
      <c r="C155" s="5">
        <f>IF($B155="","",IFERROR(INDEX('DM_DoiTuong'!$B$2:$B$19,AGGREGATE(15,6,ROW('DM_DoiTuong'!$B$2:$B$19)-ROW('DM_DoiTuong'!$B$2)+1/ISNUMBER(SEARCH(SUBSTITUTE(UPPER($B155)," ",""),'DM_DoiTuong'!$C$2:$C$19)),1)),"Không tìm thấy"))</f>
        <v/>
      </c>
      <c r="E155" s="5">
        <f>IF($C155="","",IFERROR(INDEX('DM_DiaDiemKham'!$B$2:$B$6,AGGREGATE(15,6,ROW('DM_DiaDiemKham'!$B$2:$B$6)-ROW('DM_DiaDiemKham'!$B$2)+1/ISNUMBER(SEARCH(SUBSTITUTE(UPPER($C155)," ",""),'DM_DiaDiemKham'!$C$2:$C$6)),1)),"Không tìm thấy"))</f>
        <v/>
      </c>
      <c r="G155" s="5">
        <f>IF($D155="","",IFERROR(INDEX('DM_HinhThucChiTra'!$B$2:$B$5,AGGREGATE(15,6,ROW('DM_HinhThucChiTra'!$B$2:$B$5)-ROW('DM_HinhThucChiTra'!$B$2)+1/ISNUMBER(SEARCH(SUBSTITUTE(UPPER($D155)," ",""),'DM_HinhThucChiTra'!$C$2:$C$5)),1)),"Không tìm thấy"))</f>
        <v/>
      </c>
      <c r="I155" s="5">
        <f>IF($E155="","",IFERROR(INDEX('DM_HinhThucKham'!$B$2:$B$3,AGGREGATE(15,6,ROW('DM_HinhThucKham'!$B$2:$B$3)-ROW('DM_HinhThucKham'!$B$2)+1/ISNUMBER(SEARCH(SUBSTITUTE(UPPER($E155)," ",""),'DM_HinhThucKham'!$C$2:$C$3)),1)),"Không tìm thấy"))</f>
        <v/>
      </c>
      <c r="P155" s="5">
        <f>IF($K155="","",IFERROR(INDEX('DM_DanToc'!$B$2:$B$78,AGGREGATE(15,6,ROW('DM_DanToc'!$B$2:$B$78)-ROW('DM_DanToc'!$B$2)+1/ISNUMBER(SEARCH(SUBSTITUTE(UPPER($K155)," ",""),'DM_DanToc'!$C$2:$C$78)),1)),"Không tìm thấy"))</f>
        <v/>
      </c>
      <c r="W155" s="5">
        <f>IF($Q155="","",IFERROR(INDEX('DM_TinhThanh'!$B$2:$B$35,AGGREGATE(15,6,ROW('DM_TinhThanh'!$B$2:$B$35)-ROW('DM_TinhThanh'!$B$2)+1/ISNUMBER(SEARCH(SUBSTITUTE(UPPER($Q155)," ",""),'DM_TinhThanh'!$C$2:$C$35)),1)),"Không tìm thấy"))</f>
        <v/>
      </c>
      <c r="Y155" s="5">
        <f>IF($R155="","",IFERROR(INDEX('DM_XaPhuong'!$B$2:$B$169,AGGREGATE(15,6,ROW('DM_XaPhuong'!$B$2:$B$169)-ROW('DM_XaPhuong'!$B$2)+1/ISNUMBER(SEARCH(SUBSTITUTE(UPPER($R155)," ",""),'DM_XaPhuong'!$C$2:$C$169)),1)),"Không tìm thấy"))</f>
        <v/>
      </c>
      <c r="AB155" s="5">
        <f>IF($T155="","",IFERROR(INDEX('DM_NgheNghiep'!$B$2:$B$11,AGGREGATE(15,6,ROW('DM_NgheNghiep'!$B$2:$B$11)-ROW('DM_NgheNghiep'!$B$2)+1/ISNUMBER(SEARCH(SUBSTITUTE(UPPER($T155)," ",""),'DM_NgheNghiep'!$C$2:$C$11)),1)),"Không tìm thấy"))</f>
        <v/>
      </c>
      <c r="AD155" s="5">
        <f>IF($U155="","",IFERROR(INDEX('DM_NoiCongTac'!$B$2:$B$11,AGGREGATE(15,6,ROW('DM_NoiCongTac'!$B$2:$B$11)-ROW('DM_NoiCongTac'!$B$2)+1/ISNUMBER(SEARCH(SUBSTITUTE(UPPER($U155)," ",""),'DM_NoiCongTac'!$C$2:$C$11)),1)),"Không tìm thấy"))</f>
        <v/>
      </c>
      <c r="AF155" s="5">
        <f>IF($V155="","",IFERROR(INDEX('DM_XaPhuong'!$B$2:$B$169,AGGREGATE(15,6,ROW('DM_XaPhuong'!$B$2:$B$169)-ROW('DM_XaPhuong'!$B$2)+1/ISNUMBER(SEARCH(SUBSTITUTE(UPPER($V155)," ",""),'DM_XaPhuong'!$C$2:$C$169)),1)),"Không tìm thấy"))</f>
        <v/>
      </c>
    </row>
    <row r="156">
      <c r="C156" s="5">
        <f>IF($B156="","",IFERROR(INDEX('DM_DoiTuong'!$B$2:$B$19,AGGREGATE(15,6,ROW('DM_DoiTuong'!$B$2:$B$19)-ROW('DM_DoiTuong'!$B$2)+1/ISNUMBER(SEARCH(SUBSTITUTE(UPPER($B156)," ",""),'DM_DoiTuong'!$C$2:$C$19)),1)),"Không tìm thấy"))</f>
        <v/>
      </c>
      <c r="E156" s="5">
        <f>IF($C156="","",IFERROR(INDEX('DM_DiaDiemKham'!$B$2:$B$6,AGGREGATE(15,6,ROW('DM_DiaDiemKham'!$B$2:$B$6)-ROW('DM_DiaDiemKham'!$B$2)+1/ISNUMBER(SEARCH(SUBSTITUTE(UPPER($C156)," ",""),'DM_DiaDiemKham'!$C$2:$C$6)),1)),"Không tìm thấy"))</f>
        <v/>
      </c>
      <c r="G156" s="5">
        <f>IF($D156="","",IFERROR(INDEX('DM_HinhThucChiTra'!$B$2:$B$5,AGGREGATE(15,6,ROW('DM_HinhThucChiTra'!$B$2:$B$5)-ROW('DM_HinhThucChiTra'!$B$2)+1/ISNUMBER(SEARCH(SUBSTITUTE(UPPER($D156)," ",""),'DM_HinhThucChiTra'!$C$2:$C$5)),1)),"Không tìm thấy"))</f>
        <v/>
      </c>
      <c r="I156" s="5">
        <f>IF($E156="","",IFERROR(INDEX('DM_HinhThucKham'!$B$2:$B$3,AGGREGATE(15,6,ROW('DM_HinhThucKham'!$B$2:$B$3)-ROW('DM_HinhThucKham'!$B$2)+1/ISNUMBER(SEARCH(SUBSTITUTE(UPPER($E156)," ",""),'DM_HinhThucKham'!$C$2:$C$3)),1)),"Không tìm thấy"))</f>
        <v/>
      </c>
      <c r="P156" s="5">
        <f>IF($K156="","",IFERROR(INDEX('DM_DanToc'!$B$2:$B$78,AGGREGATE(15,6,ROW('DM_DanToc'!$B$2:$B$78)-ROW('DM_DanToc'!$B$2)+1/ISNUMBER(SEARCH(SUBSTITUTE(UPPER($K156)," ",""),'DM_DanToc'!$C$2:$C$78)),1)),"Không tìm thấy"))</f>
        <v/>
      </c>
      <c r="W156" s="5">
        <f>IF($Q156="","",IFERROR(INDEX('DM_TinhThanh'!$B$2:$B$35,AGGREGATE(15,6,ROW('DM_TinhThanh'!$B$2:$B$35)-ROW('DM_TinhThanh'!$B$2)+1/ISNUMBER(SEARCH(SUBSTITUTE(UPPER($Q156)," ",""),'DM_TinhThanh'!$C$2:$C$35)),1)),"Không tìm thấy"))</f>
        <v/>
      </c>
      <c r="Y156" s="5">
        <f>IF($R156="","",IFERROR(INDEX('DM_XaPhuong'!$B$2:$B$169,AGGREGATE(15,6,ROW('DM_XaPhuong'!$B$2:$B$169)-ROW('DM_XaPhuong'!$B$2)+1/ISNUMBER(SEARCH(SUBSTITUTE(UPPER($R156)," ",""),'DM_XaPhuong'!$C$2:$C$169)),1)),"Không tìm thấy"))</f>
        <v/>
      </c>
      <c r="AB156" s="5">
        <f>IF($T156="","",IFERROR(INDEX('DM_NgheNghiep'!$B$2:$B$11,AGGREGATE(15,6,ROW('DM_NgheNghiep'!$B$2:$B$11)-ROW('DM_NgheNghiep'!$B$2)+1/ISNUMBER(SEARCH(SUBSTITUTE(UPPER($T156)," ",""),'DM_NgheNghiep'!$C$2:$C$11)),1)),"Không tìm thấy"))</f>
        <v/>
      </c>
      <c r="AD156" s="5">
        <f>IF($U156="","",IFERROR(INDEX('DM_NoiCongTac'!$B$2:$B$11,AGGREGATE(15,6,ROW('DM_NoiCongTac'!$B$2:$B$11)-ROW('DM_NoiCongTac'!$B$2)+1/ISNUMBER(SEARCH(SUBSTITUTE(UPPER($U156)," ",""),'DM_NoiCongTac'!$C$2:$C$11)),1)),"Không tìm thấy"))</f>
        <v/>
      </c>
      <c r="AF156" s="5">
        <f>IF($V156="","",IFERROR(INDEX('DM_XaPhuong'!$B$2:$B$169,AGGREGATE(15,6,ROW('DM_XaPhuong'!$B$2:$B$169)-ROW('DM_XaPhuong'!$B$2)+1/ISNUMBER(SEARCH(SUBSTITUTE(UPPER($V156)," ",""),'DM_XaPhuong'!$C$2:$C$169)),1)),"Không tìm thấy"))</f>
        <v/>
      </c>
    </row>
    <row r="157">
      <c r="C157" s="5">
        <f>IF($B157="","",IFERROR(INDEX('DM_DoiTuong'!$B$2:$B$19,AGGREGATE(15,6,ROW('DM_DoiTuong'!$B$2:$B$19)-ROW('DM_DoiTuong'!$B$2)+1/ISNUMBER(SEARCH(SUBSTITUTE(UPPER($B157)," ",""),'DM_DoiTuong'!$C$2:$C$19)),1)),"Không tìm thấy"))</f>
        <v/>
      </c>
      <c r="E157" s="5">
        <f>IF($C157="","",IFERROR(INDEX('DM_DiaDiemKham'!$B$2:$B$6,AGGREGATE(15,6,ROW('DM_DiaDiemKham'!$B$2:$B$6)-ROW('DM_DiaDiemKham'!$B$2)+1/ISNUMBER(SEARCH(SUBSTITUTE(UPPER($C157)," ",""),'DM_DiaDiemKham'!$C$2:$C$6)),1)),"Không tìm thấy"))</f>
        <v/>
      </c>
      <c r="G157" s="5">
        <f>IF($D157="","",IFERROR(INDEX('DM_HinhThucChiTra'!$B$2:$B$5,AGGREGATE(15,6,ROW('DM_HinhThucChiTra'!$B$2:$B$5)-ROW('DM_HinhThucChiTra'!$B$2)+1/ISNUMBER(SEARCH(SUBSTITUTE(UPPER($D157)," ",""),'DM_HinhThucChiTra'!$C$2:$C$5)),1)),"Không tìm thấy"))</f>
        <v/>
      </c>
      <c r="I157" s="5">
        <f>IF($E157="","",IFERROR(INDEX('DM_HinhThucKham'!$B$2:$B$3,AGGREGATE(15,6,ROW('DM_HinhThucKham'!$B$2:$B$3)-ROW('DM_HinhThucKham'!$B$2)+1/ISNUMBER(SEARCH(SUBSTITUTE(UPPER($E157)," ",""),'DM_HinhThucKham'!$C$2:$C$3)),1)),"Không tìm thấy"))</f>
        <v/>
      </c>
      <c r="P157" s="5">
        <f>IF($K157="","",IFERROR(INDEX('DM_DanToc'!$B$2:$B$78,AGGREGATE(15,6,ROW('DM_DanToc'!$B$2:$B$78)-ROW('DM_DanToc'!$B$2)+1/ISNUMBER(SEARCH(SUBSTITUTE(UPPER($K157)," ",""),'DM_DanToc'!$C$2:$C$78)),1)),"Không tìm thấy"))</f>
        <v/>
      </c>
      <c r="W157" s="5">
        <f>IF($Q157="","",IFERROR(INDEX('DM_TinhThanh'!$B$2:$B$35,AGGREGATE(15,6,ROW('DM_TinhThanh'!$B$2:$B$35)-ROW('DM_TinhThanh'!$B$2)+1/ISNUMBER(SEARCH(SUBSTITUTE(UPPER($Q157)," ",""),'DM_TinhThanh'!$C$2:$C$35)),1)),"Không tìm thấy"))</f>
        <v/>
      </c>
      <c r="Y157" s="5">
        <f>IF($R157="","",IFERROR(INDEX('DM_XaPhuong'!$B$2:$B$169,AGGREGATE(15,6,ROW('DM_XaPhuong'!$B$2:$B$169)-ROW('DM_XaPhuong'!$B$2)+1/ISNUMBER(SEARCH(SUBSTITUTE(UPPER($R157)," ",""),'DM_XaPhuong'!$C$2:$C$169)),1)),"Không tìm thấy"))</f>
        <v/>
      </c>
      <c r="AB157" s="5">
        <f>IF($T157="","",IFERROR(INDEX('DM_NgheNghiep'!$B$2:$B$11,AGGREGATE(15,6,ROW('DM_NgheNghiep'!$B$2:$B$11)-ROW('DM_NgheNghiep'!$B$2)+1/ISNUMBER(SEARCH(SUBSTITUTE(UPPER($T157)," ",""),'DM_NgheNghiep'!$C$2:$C$11)),1)),"Không tìm thấy"))</f>
        <v/>
      </c>
      <c r="AD157" s="5">
        <f>IF($U157="","",IFERROR(INDEX('DM_NoiCongTac'!$B$2:$B$11,AGGREGATE(15,6,ROW('DM_NoiCongTac'!$B$2:$B$11)-ROW('DM_NoiCongTac'!$B$2)+1/ISNUMBER(SEARCH(SUBSTITUTE(UPPER($U157)," ",""),'DM_NoiCongTac'!$C$2:$C$11)),1)),"Không tìm thấy"))</f>
        <v/>
      </c>
      <c r="AF157" s="5">
        <f>IF($V157="","",IFERROR(INDEX('DM_XaPhuong'!$B$2:$B$169,AGGREGATE(15,6,ROW('DM_XaPhuong'!$B$2:$B$169)-ROW('DM_XaPhuong'!$B$2)+1/ISNUMBER(SEARCH(SUBSTITUTE(UPPER($V157)," ",""),'DM_XaPhuong'!$C$2:$C$169)),1)),"Không tìm thấy"))</f>
        <v/>
      </c>
    </row>
    <row r="158">
      <c r="C158" s="5">
        <f>IF($B158="","",IFERROR(INDEX('DM_DoiTuong'!$B$2:$B$19,AGGREGATE(15,6,ROW('DM_DoiTuong'!$B$2:$B$19)-ROW('DM_DoiTuong'!$B$2)+1/ISNUMBER(SEARCH(SUBSTITUTE(UPPER($B158)," ",""),'DM_DoiTuong'!$C$2:$C$19)),1)),"Không tìm thấy"))</f>
        <v/>
      </c>
      <c r="E158" s="5">
        <f>IF($C158="","",IFERROR(INDEX('DM_DiaDiemKham'!$B$2:$B$6,AGGREGATE(15,6,ROW('DM_DiaDiemKham'!$B$2:$B$6)-ROW('DM_DiaDiemKham'!$B$2)+1/ISNUMBER(SEARCH(SUBSTITUTE(UPPER($C158)," ",""),'DM_DiaDiemKham'!$C$2:$C$6)),1)),"Không tìm thấy"))</f>
        <v/>
      </c>
      <c r="G158" s="5">
        <f>IF($D158="","",IFERROR(INDEX('DM_HinhThucChiTra'!$B$2:$B$5,AGGREGATE(15,6,ROW('DM_HinhThucChiTra'!$B$2:$B$5)-ROW('DM_HinhThucChiTra'!$B$2)+1/ISNUMBER(SEARCH(SUBSTITUTE(UPPER($D158)," ",""),'DM_HinhThucChiTra'!$C$2:$C$5)),1)),"Không tìm thấy"))</f>
        <v/>
      </c>
      <c r="I158" s="5">
        <f>IF($E158="","",IFERROR(INDEX('DM_HinhThucKham'!$B$2:$B$3,AGGREGATE(15,6,ROW('DM_HinhThucKham'!$B$2:$B$3)-ROW('DM_HinhThucKham'!$B$2)+1/ISNUMBER(SEARCH(SUBSTITUTE(UPPER($E158)," ",""),'DM_HinhThucKham'!$C$2:$C$3)),1)),"Không tìm thấy"))</f>
        <v/>
      </c>
      <c r="P158" s="5">
        <f>IF($K158="","",IFERROR(INDEX('DM_DanToc'!$B$2:$B$78,AGGREGATE(15,6,ROW('DM_DanToc'!$B$2:$B$78)-ROW('DM_DanToc'!$B$2)+1/ISNUMBER(SEARCH(SUBSTITUTE(UPPER($K158)," ",""),'DM_DanToc'!$C$2:$C$78)),1)),"Không tìm thấy"))</f>
        <v/>
      </c>
      <c r="W158" s="5">
        <f>IF($Q158="","",IFERROR(INDEX('DM_TinhThanh'!$B$2:$B$35,AGGREGATE(15,6,ROW('DM_TinhThanh'!$B$2:$B$35)-ROW('DM_TinhThanh'!$B$2)+1/ISNUMBER(SEARCH(SUBSTITUTE(UPPER($Q158)," ",""),'DM_TinhThanh'!$C$2:$C$35)),1)),"Không tìm thấy"))</f>
        <v/>
      </c>
      <c r="Y158" s="5">
        <f>IF($R158="","",IFERROR(INDEX('DM_XaPhuong'!$B$2:$B$169,AGGREGATE(15,6,ROW('DM_XaPhuong'!$B$2:$B$169)-ROW('DM_XaPhuong'!$B$2)+1/ISNUMBER(SEARCH(SUBSTITUTE(UPPER($R158)," ",""),'DM_XaPhuong'!$C$2:$C$169)),1)),"Không tìm thấy"))</f>
        <v/>
      </c>
      <c r="AB158" s="5">
        <f>IF($T158="","",IFERROR(INDEX('DM_NgheNghiep'!$B$2:$B$11,AGGREGATE(15,6,ROW('DM_NgheNghiep'!$B$2:$B$11)-ROW('DM_NgheNghiep'!$B$2)+1/ISNUMBER(SEARCH(SUBSTITUTE(UPPER($T158)," ",""),'DM_NgheNghiep'!$C$2:$C$11)),1)),"Không tìm thấy"))</f>
        <v/>
      </c>
      <c r="AD158" s="5">
        <f>IF($U158="","",IFERROR(INDEX('DM_NoiCongTac'!$B$2:$B$11,AGGREGATE(15,6,ROW('DM_NoiCongTac'!$B$2:$B$11)-ROW('DM_NoiCongTac'!$B$2)+1/ISNUMBER(SEARCH(SUBSTITUTE(UPPER($U158)," ",""),'DM_NoiCongTac'!$C$2:$C$11)),1)),"Không tìm thấy"))</f>
        <v/>
      </c>
      <c r="AF158" s="5">
        <f>IF($V158="","",IFERROR(INDEX('DM_XaPhuong'!$B$2:$B$169,AGGREGATE(15,6,ROW('DM_XaPhuong'!$B$2:$B$169)-ROW('DM_XaPhuong'!$B$2)+1/ISNUMBER(SEARCH(SUBSTITUTE(UPPER($V158)," ",""),'DM_XaPhuong'!$C$2:$C$169)),1)),"Không tìm thấy"))</f>
        <v/>
      </c>
    </row>
    <row r="159">
      <c r="C159" s="5">
        <f>IF($B159="","",IFERROR(INDEX('DM_DoiTuong'!$B$2:$B$19,AGGREGATE(15,6,ROW('DM_DoiTuong'!$B$2:$B$19)-ROW('DM_DoiTuong'!$B$2)+1/ISNUMBER(SEARCH(SUBSTITUTE(UPPER($B159)," ",""),'DM_DoiTuong'!$C$2:$C$19)),1)),"Không tìm thấy"))</f>
        <v/>
      </c>
      <c r="E159" s="5">
        <f>IF($C159="","",IFERROR(INDEX('DM_DiaDiemKham'!$B$2:$B$6,AGGREGATE(15,6,ROW('DM_DiaDiemKham'!$B$2:$B$6)-ROW('DM_DiaDiemKham'!$B$2)+1/ISNUMBER(SEARCH(SUBSTITUTE(UPPER($C159)," ",""),'DM_DiaDiemKham'!$C$2:$C$6)),1)),"Không tìm thấy"))</f>
        <v/>
      </c>
      <c r="G159" s="5">
        <f>IF($D159="","",IFERROR(INDEX('DM_HinhThucChiTra'!$B$2:$B$5,AGGREGATE(15,6,ROW('DM_HinhThucChiTra'!$B$2:$B$5)-ROW('DM_HinhThucChiTra'!$B$2)+1/ISNUMBER(SEARCH(SUBSTITUTE(UPPER($D159)," ",""),'DM_HinhThucChiTra'!$C$2:$C$5)),1)),"Không tìm thấy"))</f>
        <v/>
      </c>
      <c r="I159" s="5">
        <f>IF($E159="","",IFERROR(INDEX('DM_HinhThucKham'!$B$2:$B$3,AGGREGATE(15,6,ROW('DM_HinhThucKham'!$B$2:$B$3)-ROW('DM_HinhThucKham'!$B$2)+1/ISNUMBER(SEARCH(SUBSTITUTE(UPPER($E159)," ",""),'DM_HinhThucKham'!$C$2:$C$3)),1)),"Không tìm thấy"))</f>
        <v/>
      </c>
      <c r="P159" s="5">
        <f>IF($K159="","",IFERROR(INDEX('DM_DanToc'!$B$2:$B$78,AGGREGATE(15,6,ROW('DM_DanToc'!$B$2:$B$78)-ROW('DM_DanToc'!$B$2)+1/ISNUMBER(SEARCH(SUBSTITUTE(UPPER($K159)," ",""),'DM_DanToc'!$C$2:$C$78)),1)),"Không tìm thấy"))</f>
        <v/>
      </c>
      <c r="W159" s="5">
        <f>IF($Q159="","",IFERROR(INDEX('DM_TinhThanh'!$B$2:$B$35,AGGREGATE(15,6,ROW('DM_TinhThanh'!$B$2:$B$35)-ROW('DM_TinhThanh'!$B$2)+1/ISNUMBER(SEARCH(SUBSTITUTE(UPPER($Q159)," ",""),'DM_TinhThanh'!$C$2:$C$35)),1)),"Không tìm thấy"))</f>
        <v/>
      </c>
      <c r="Y159" s="5">
        <f>IF($R159="","",IFERROR(INDEX('DM_XaPhuong'!$B$2:$B$169,AGGREGATE(15,6,ROW('DM_XaPhuong'!$B$2:$B$169)-ROW('DM_XaPhuong'!$B$2)+1/ISNUMBER(SEARCH(SUBSTITUTE(UPPER($R159)," ",""),'DM_XaPhuong'!$C$2:$C$169)),1)),"Không tìm thấy"))</f>
        <v/>
      </c>
      <c r="AB159" s="5">
        <f>IF($T159="","",IFERROR(INDEX('DM_NgheNghiep'!$B$2:$B$11,AGGREGATE(15,6,ROW('DM_NgheNghiep'!$B$2:$B$11)-ROW('DM_NgheNghiep'!$B$2)+1/ISNUMBER(SEARCH(SUBSTITUTE(UPPER($T159)," ",""),'DM_NgheNghiep'!$C$2:$C$11)),1)),"Không tìm thấy"))</f>
        <v/>
      </c>
      <c r="AD159" s="5">
        <f>IF($U159="","",IFERROR(INDEX('DM_NoiCongTac'!$B$2:$B$11,AGGREGATE(15,6,ROW('DM_NoiCongTac'!$B$2:$B$11)-ROW('DM_NoiCongTac'!$B$2)+1/ISNUMBER(SEARCH(SUBSTITUTE(UPPER($U159)," ",""),'DM_NoiCongTac'!$C$2:$C$11)),1)),"Không tìm thấy"))</f>
        <v/>
      </c>
      <c r="AF159" s="5">
        <f>IF($V159="","",IFERROR(INDEX('DM_XaPhuong'!$B$2:$B$169,AGGREGATE(15,6,ROW('DM_XaPhuong'!$B$2:$B$169)-ROW('DM_XaPhuong'!$B$2)+1/ISNUMBER(SEARCH(SUBSTITUTE(UPPER($V159)," ",""),'DM_XaPhuong'!$C$2:$C$169)),1)),"Không tìm thấy"))</f>
        <v/>
      </c>
    </row>
    <row r="160">
      <c r="C160" s="5">
        <f>IF($B160="","",IFERROR(INDEX('DM_DoiTuong'!$B$2:$B$19,AGGREGATE(15,6,ROW('DM_DoiTuong'!$B$2:$B$19)-ROW('DM_DoiTuong'!$B$2)+1/ISNUMBER(SEARCH(SUBSTITUTE(UPPER($B160)," ",""),'DM_DoiTuong'!$C$2:$C$19)),1)),"Không tìm thấy"))</f>
        <v/>
      </c>
      <c r="E160" s="5">
        <f>IF($C160="","",IFERROR(INDEX('DM_DiaDiemKham'!$B$2:$B$6,AGGREGATE(15,6,ROW('DM_DiaDiemKham'!$B$2:$B$6)-ROW('DM_DiaDiemKham'!$B$2)+1/ISNUMBER(SEARCH(SUBSTITUTE(UPPER($C160)," ",""),'DM_DiaDiemKham'!$C$2:$C$6)),1)),"Không tìm thấy"))</f>
        <v/>
      </c>
      <c r="G160" s="5">
        <f>IF($D160="","",IFERROR(INDEX('DM_HinhThucChiTra'!$B$2:$B$5,AGGREGATE(15,6,ROW('DM_HinhThucChiTra'!$B$2:$B$5)-ROW('DM_HinhThucChiTra'!$B$2)+1/ISNUMBER(SEARCH(SUBSTITUTE(UPPER($D160)," ",""),'DM_HinhThucChiTra'!$C$2:$C$5)),1)),"Không tìm thấy"))</f>
        <v/>
      </c>
      <c r="I160" s="5">
        <f>IF($E160="","",IFERROR(INDEX('DM_HinhThucKham'!$B$2:$B$3,AGGREGATE(15,6,ROW('DM_HinhThucKham'!$B$2:$B$3)-ROW('DM_HinhThucKham'!$B$2)+1/ISNUMBER(SEARCH(SUBSTITUTE(UPPER($E160)," ",""),'DM_HinhThucKham'!$C$2:$C$3)),1)),"Không tìm thấy"))</f>
        <v/>
      </c>
      <c r="P160" s="5">
        <f>IF($K160="","",IFERROR(INDEX('DM_DanToc'!$B$2:$B$78,AGGREGATE(15,6,ROW('DM_DanToc'!$B$2:$B$78)-ROW('DM_DanToc'!$B$2)+1/ISNUMBER(SEARCH(SUBSTITUTE(UPPER($K160)," ",""),'DM_DanToc'!$C$2:$C$78)),1)),"Không tìm thấy"))</f>
        <v/>
      </c>
      <c r="W160" s="5">
        <f>IF($Q160="","",IFERROR(INDEX('DM_TinhThanh'!$B$2:$B$35,AGGREGATE(15,6,ROW('DM_TinhThanh'!$B$2:$B$35)-ROW('DM_TinhThanh'!$B$2)+1/ISNUMBER(SEARCH(SUBSTITUTE(UPPER($Q160)," ",""),'DM_TinhThanh'!$C$2:$C$35)),1)),"Không tìm thấy"))</f>
        <v/>
      </c>
      <c r="Y160" s="5">
        <f>IF($R160="","",IFERROR(INDEX('DM_XaPhuong'!$B$2:$B$169,AGGREGATE(15,6,ROW('DM_XaPhuong'!$B$2:$B$169)-ROW('DM_XaPhuong'!$B$2)+1/ISNUMBER(SEARCH(SUBSTITUTE(UPPER($R160)," ",""),'DM_XaPhuong'!$C$2:$C$169)),1)),"Không tìm thấy"))</f>
        <v/>
      </c>
      <c r="AB160" s="5">
        <f>IF($T160="","",IFERROR(INDEX('DM_NgheNghiep'!$B$2:$B$11,AGGREGATE(15,6,ROW('DM_NgheNghiep'!$B$2:$B$11)-ROW('DM_NgheNghiep'!$B$2)+1/ISNUMBER(SEARCH(SUBSTITUTE(UPPER($T160)," ",""),'DM_NgheNghiep'!$C$2:$C$11)),1)),"Không tìm thấy"))</f>
        <v/>
      </c>
      <c r="AD160" s="5">
        <f>IF($U160="","",IFERROR(INDEX('DM_NoiCongTac'!$B$2:$B$11,AGGREGATE(15,6,ROW('DM_NoiCongTac'!$B$2:$B$11)-ROW('DM_NoiCongTac'!$B$2)+1/ISNUMBER(SEARCH(SUBSTITUTE(UPPER($U160)," ",""),'DM_NoiCongTac'!$C$2:$C$11)),1)),"Không tìm thấy"))</f>
        <v/>
      </c>
      <c r="AF160" s="5">
        <f>IF($V160="","",IFERROR(INDEX('DM_XaPhuong'!$B$2:$B$169,AGGREGATE(15,6,ROW('DM_XaPhuong'!$B$2:$B$169)-ROW('DM_XaPhuong'!$B$2)+1/ISNUMBER(SEARCH(SUBSTITUTE(UPPER($V160)," ",""),'DM_XaPhuong'!$C$2:$C$169)),1)),"Không tìm thấy"))</f>
        <v/>
      </c>
    </row>
    <row r="161">
      <c r="C161" s="5">
        <f>IF($B161="","",IFERROR(INDEX('DM_DoiTuong'!$B$2:$B$19,AGGREGATE(15,6,ROW('DM_DoiTuong'!$B$2:$B$19)-ROW('DM_DoiTuong'!$B$2)+1/ISNUMBER(SEARCH(SUBSTITUTE(UPPER($B161)," ",""),'DM_DoiTuong'!$C$2:$C$19)),1)),"Không tìm thấy"))</f>
        <v/>
      </c>
      <c r="E161" s="5">
        <f>IF($C161="","",IFERROR(INDEX('DM_DiaDiemKham'!$B$2:$B$6,AGGREGATE(15,6,ROW('DM_DiaDiemKham'!$B$2:$B$6)-ROW('DM_DiaDiemKham'!$B$2)+1/ISNUMBER(SEARCH(SUBSTITUTE(UPPER($C161)," ",""),'DM_DiaDiemKham'!$C$2:$C$6)),1)),"Không tìm thấy"))</f>
        <v/>
      </c>
      <c r="G161" s="5">
        <f>IF($D161="","",IFERROR(INDEX('DM_HinhThucChiTra'!$B$2:$B$5,AGGREGATE(15,6,ROW('DM_HinhThucChiTra'!$B$2:$B$5)-ROW('DM_HinhThucChiTra'!$B$2)+1/ISNUMBER(SEARCH(SUBSTITUTE(UPPER($D161)," ",""),'DM_HinhThucChiTra'!$C$2:$C$5)),1)),"Không tìm thấy"))</f>
        <v/>
      </c>
      <c r="I161" s="5">
        <f>IF($E161="","",IFERROR(INDEX('DM_HinhThucKham'!$B$2:$B$3,AGGREGATE(15,6,ROW('DM_HinhThucKham'!$B$2:$B$3)-ROW('DM_HinhThucKham'!$B$2)+1/ISNUMBER(SEARCH(SUBSTITUTE(UPPER($E161)," ",""),'DM_HinhThucKham'!$C$2:$C$3)),1)),"Không tìm thấy"))</f>
        <v/>
      </c>
      <c r="P161" s="5">
        <f>IF($K161="","",IFERROR(INDEX('DM_DanToc'!$B$2:$B$78,AGGREGATE(15,6,ROW('DM_DanToc'!$B$2:$B$78)-ROW('DM_DanToc'!$B$2)+1/ISNUMBER(SEARCH(SUBSTITUTE(UPPER($K161)," ",""),'DM_DanToc'!$C$2:$C$78)),1)),"Không tìm thấy"))</f>
        <v/>
      </c>
      <c r="W161" s="5">
        <f>IF($Q161="","",IFERROR(INDEX('DM_TinhThanh'!$B$2:$B$35,AGGREGATE(15,6,ROW('DM_TinhThanh'!$B$2:$B$35)-ROW('DM_TinhThanh'!$B$2)+1/ISNUMBER(SEARCH(SUBSTITUTE(UPPER($Q161)," ",""),'DM_TinhThanh'!$C$2:$C$35)),1)),"Không tìm thấy"))</f>
        <v/>
      </c>
      <c r="Y161" s="5">
        <f>IF($R161="","",IFERROR(INDEX('DM_XaPhuong'!$B$2:$B$169,AGGREGATE(15,6,ROW('DM_XaPhuong'!$B$2:$B$169)-ROW('DM_XaPhuong'!$B$2)+1/ISNUMBER(SEARCH(SUBSTITUTE(UPPER($R161)," ",""),'DM_XaPhuong'!$C$2:$C$169)),1)),"Không tìm thấy"))</f>
        <v/>
      </c>
      <c r="AB161" s="5">
        <f>IF($T161="","",IFERROR(INDEX('DM_NgheNghiep'!$B$2:$B$11,AGGREGATE(15,6,ROW('DM_NgheNghiep'!$B$2:$B$11)-ROW('DM_NgheNghiep'!$B$2)+1/ISNUMBER(SEARCH(SUBSTITUTE(UPPER($T161)," ",""),'DM_NgheNghiep'!$C$2:$C$11)),1)),"Không tìm thấy"))</f>
        <v/>
      </c>
      <c r="AD161" s="5">
        <f>IF($U161="","",IFERROR(INDEX('DM_NoiCongTac'!$B$2:$B$11,AGGREGATE(15,6,ROW('DM_NoiCongTac'!$B$2:$B$11)-ROW('DM_NoiCongTac'!$B$2)+1/ISNUMBER(SEARCH(SUBSTITUTE(UPPER($U161)," ",""),'DM_NoiCongTac'!$C$2:$C$11)),1)),"Không tìm thấy"))</f>
        <v/>
      </c>
      <c r="AF161" s="5">
        <f>IF($V161="","",IFERROR(INDEX('DM_XaPhuong'!$B$2:$B$169,AGGREGATE(15,6,ROW('DM_XaPhuong'!$B$2:$B$169)-ROW('DM_XaPhuong'!$B$2)+1/ISNUMBER(SEARCH(SUBSTITUTE(UPPER($V161)," ",""),'DM_XaPhuong'!$C$2:$C$169)),1)),"Không tìm thấy"))</f>
        <v/>
      </c>
    </row>
    <row r="162">
      <c r="C162" s="5">
        <f>IF($B162="","",IFERROR(INDEX('DM_DoiTuong'!$B$2:$B$19,AGGREGATE(15,6,ROW('DM_DoiTuong'!$B$2:$B$19)-ROW('DM_DoiTuong'!$B$2)+1/ISNUMBER(SEARCH(SUBSTITUTE(UPPER($B162)," ",""),'DM_DoiTuong'!$C$2:$C$19)),1)),"Không tìm thấy"))</f>
        <v/>
      </c>
      <c r="E162" s="5">
        <f>IF($C162="","",IFERROR(INDEX('DM_DiaDiemKham'!$B$2:$B$6,AGGREGATE(15,6,ROW('DM_DiaDiemKham'!$B$2:$B$6)-ROW('DM_DiaDiemKham'!$B$2)+1/ISNUMBER(SEARCH(SUBSTITUTE(UPPER($C162)," ",""),'DM_DiaDiemKham'!$C$2:$C$6)),1)),"Không tìm thấy"))</f>
        <v/>
      </c>
      <c r="G162" s="5">
        <f>IF($D162="","",IFERROR(INDEX('DM_HinhThucChiTra'!$B$2:$B$5,AGGREGATE(15,6,ROW('DM_HinhThucChiTra'!$B$2:$B$5)-ROW('DM_HinhThucChiTra'!$B$2)+1/ISNUMBER(SEARCH(SUBSTITUTE(UPPER($D162)," ",""),'DM_HinhThucChiTra'!$C$2:$C$5)),1)),"Không tìm thấy"))</f>
        <v/>
      </c>
      <c r="I162" s="5">
        <f>IF($E162="","",IFERROR(INDEX('DM_HinhThucKham'!$B$2:$B$3,AGGREGATE(15,6,ROW('DM_HinhThucKham'!$B$2:$B$3)-ROW('DM_HinhThucKham'!$B$2)+1/ISNUMBER(SEARCH(SUBSTITUTE(UPPER($E162)," ",""),'DM_HinhThucKham'!$C$2:$C$3)),1)),"Không tìm thấy"))</f>
        <v/>
      </c>
      <c r="P162" s="5">
        <f>IF($K162="","",IFERROR(INDEX('DM_DanToc'!$B$2:$B$78,AGGREGATE(15,6,ROW('DM_DanToc'!$B$2:$B$78)-ROW('DM_DanToc'!$B$2)+1/ISNUMBER(SEARCH(SUBSTITUTE(UPPER($K162)," ",""),'DM_DanToc'!$C$2:$C$78)),1)),"Không tìm thấy"))</f>
        <v/>
      </c>
      <c r="W162" s="5">
        <f>IF($Q162="","",IFERROR(INDEX('DM_TinhThanh'!$B$2:$B$35,AGGREGATE(15,6,ROW('DM_TinhThanh'!$B$2:$B$35)-ROW('DM_TinhThanh'!$B$2)+1/ISNUMBER(SEARCH(SUBSTITUTE(UPPER($Q162)," ",""),'DM_TinhThanh'!$C$2:$C$35)),1)),"Không tìm thấy"))</f>
        <v/>
      </c>
      <c r="Y162" s="5">
        <f>IF($R162="","",IFERROR(INDEX('DM_XaPhuong'!$B$2:$B$169,AGGREGATE(15,6,ROW('DM_XaPhuong'!$B$2:$B$169)-ROW('DM_XaPhuong'!$B$2)+1/ISNUMBER(SEARCH(SUBSTITUTE(UPPER($R162)," ",""),'DM_XaPhuong'!$C$2:$C$169)),1)),"Không tìm thấy"))</f>
        <v/>
      </c>
      <c r="AB162" s="5">
        <f>IF($T162="","",IFERROR(INDEX('DM_NgheNghiep'!$B$2:$B$11,AGGREGATE(15,6,ROW('DM_NgheNghiep'!$B$2:$B$11)-ROW('DM_NgheNghiep'!$B$2)+1/ISNUMBER(SEARCH(SUBSTITUTE(UPPER($T162)," ",""),'DM_NgheNghiep'!$C$2:$C$11)),1)),"Không tìm thấy"))</f>
        <v/>
      </c>
      <c r="AD162" s="5">
        <f>IF($U162="","",IFERROR(INDEX('DM_NoiCongTac'!$B$2:$B$11,AGGREGATE(15,6,ROW('DM_NoiCongTac'!$B$2:$B$11)-ROW('DM_NoiCongTac'!$B$2)+1/ISNUMBER(SEARCH(SUBSTITUTE(UPPER($U162)," ",""),'DM_NoiCongTac'!$C$2:$C$11)),1)),"Không tìm thấy"))</f>
        <v/>
      </c>
      <c r="AF162" s="5">
        <f>IF($V162="","",IFERROR(INDEX('DM_XaPhuong'!$B$2:$B$169,AGGREGATE(15,6,ROW('DM_XaPhuong'!$B$2:$B$169)-ROW('DM_XaPhuong'!$B$2)+1/ISNUMBER(SEARCH(SUBSTITUTE(UPPER($V162)," ",""),'DM_XaPhuong'!$C$2:$C$169)),1)),"Không tìm thấy"))</f>
        <v/>
      </c>
    </row>
    <row r="163">
      <c r="C163" s="5">
        <f>IF($B163="","",IFERROR(INDEX('DM_DoiTuong'!$B$2:$B$19,AGGREGATE(15,6,ROW('DM_DoiTuong'!$B$2:$B$19)-ROW('DM_DoiTuong'!$B$2)+1/ISNUMBER(SEARCH(SUBSTITUTE(UPPER($B163)," ",""),'DM_DoiTuong'!$C$2:$C$19)),1)),"Không tìm thấy"))</f>
        <v/>
      </c>
      <c r="E163" s="5">
        <f>IF($C163="","",IFERROR(INDEX('DM_DiaDiemKham'!$B$2:$B$6,AGGREGATE(15,6,ROW('DM_DiaDiemKham'!$B$2:$B$6)-ROW('DM_DiaDiemKham'!$B$2)+1/ISNUMBER(SEARCH(SUBSTITUTE(UPPER($C163)," ",""),'DM_DiaDiemKham'!$C$2:$C$6)),1)),"Không tìm thấy"))</f>
        <v/>
      </c>
      <c r="G163" s="5">
        <f>IF($D163="","",IFERROR(INDEX('DM_HinhThucChiTra'!$B$2:$B$5,AGGREGATE(15,6,ROW('DM_HinhThucChiTra'!$B$2:$B$5)-ROW('DM_HinhThucChiTra'!$B$2)+1/ISNUMBER(SEARCH(SUBSTITUTE(UPPER($D163)," ",""),'DM_HinhThucChiTra'!$C$2:$C$5)),1)),"Không tìm thấy"))</f>
        <v/>
      </c>
      <c r="I163" s="5">
        <f>IF($E163="","",IFERROR(INDEX('DM_HinhThucKham'!$B$2:$B$3,AGGREGATE(15,6,ROW('DM_HinhThucKham'!$B$2:$B$3)-ROW('DM_HinhThucKham'!$B$2)+1/ISNUMBER(SEARCH(SUBSTITUTE(UPPER($E163)," ",""),'DM_HinhThucKham'!$C$2:$C$3)),1)),"Không tìm thấy"))</f>
        <v/>
      </c>
      <c r="P163" s="5">
        <f>IF($K163="","",IFERROR(INDEX('DM_DanToc'!$B$2:$B$78,AGGREGATE(15,6,ROW('DM_DanToc'!$B$2:$B$78)-ROW('DM_DanToc'!$B$2)+1/ISNUMBER(SEARCH(SUBSTITUTE(UPPER($K163)," ",""),'DM_DanToc'!$C$2:$C$78)),1)),"Không tìm thấy"))</f>
        <v/>
      </c>
      <c r="W163" s="5">
        <f>IF($Q163="","",IFERROR(INDEX('DM_TinhThanh'!$B$2:$B$35,AGGREGATE(15,6,ROW('DM_TinhThanh'!$B$2:$B$35)-ROW('DM_TinhThanh'!$B$2)+1/ISNUMBER(SEARCH(SUBSTITUTE(UPPER($Q163)," ",""),'DM_TinhThanh'!$C$2:$C$35)),1)),"Không tìm thấy"))</f>
        <v/>
      </c>
      <c r="Y163" s="5">
        <f>IF($R163="","",IFERROR(INDEX('DM_XaPhuong'!$B$2:$B$169,AGGREGATE(15,6,ROW('DM_XaPhuong'!$B$2:$B$169)-ROW('DM_XaPhuong'!$B$2)+1/ISNUMBER(SEARCH(SUBSTITUTE(UPPER($R163)," ",""),'DM_XaPhuong'!$C$2:$C$169)),1)),"Không tìm thấy"))</f>
        <v/>
      </c>
      <c r="AB163" s="5">
        <f>IF($T163="","",IFERROR(INDEX('DM_NgheNghiep'!$B$2:$B$11,AGGREGATE(15,6,ROW('DM_NgheNghiep'!$B$2:$B$11)-ROW('DM_NgheNghiep'!$B$2)+1/ISNUMBER(SEARCH(SUBSTITUTE(UPPER($T163)," ",""),'DM_NgheNghiep'!$C$2:$C$11)),1)),"Không tìm thấy"))</f>
        <v/>
      </c>
      <c r="AD163" s="5">
        <f>IF($U163="","",IFERROR(INDEX('DM_NoiCongTac'!$B$2:$B$11,AGGREGATE(15,6,ROW('DM_NoiCongTac'!$B$2:$B$11)-ROW('DM_NoiCongTac'!$B$2)+1/ISNUMBER(SEARCH(SUBSTITUTE(UPPER($U163)," ",""),'DM_NoiCongTac'!$C$2:$C$11)),1)),"Không tìm thấy"))</f>
        <v/>
      </c>
      <c r="AF163" s="5">
        <f>IF($V163="","",IFERROR(INDEX('DM_XaPhuong'!$B$2:$B$169,AGGREGATE(15,6,ROW('DM_XaPhuong'!$B$2:$B$169)-ROW('DM_XaPhuong'!$B$2)+1/ISNUMBER(SEARCH(SUBSTITUTE(UPPER($V163)," ",""),'DM_XaPhuong'!$C$2:$C$169)),1)),"Không tìm thấy"))</f>
        <v/>
      </c>
    </row>
    <row r="164">
      <c r="C164" s="5">
        <f>IF($B164="","",IFERROR(INDEX('DM_DoiTuong'!$B$2:$B$19,AGGREGATE(15,6,ROW('DM_DoiTuong'!$B$2:$B$19)-ROW('DM_DoiTuong'!$B$2)+1/ISNUMBER(SEARCH(SUBSTITUTE(UPPER($B164)," ",""),'DM_DoiTuong'!$C$2:$C$19)),1)),"Không tìm thấy"))</f>
        <v/>
      </c>
      <c r="E164" s="5">
        <f>IF($C164="","",IFERROR(INDEX('DM_DiaDiemKham'!$B$2:$B$6,AGGREGATE(15,6,ROW('DM_DiaDiemKham'!$B$2:$B$6)-ROW('DM_DiaDiemKham'!$B$2)+1/ISNUMBER(SEARCH(SUBSTITUTE(UPPER($C164)," ",""),'DM_DiaDiemKham'!$C$2:$C$6)),1)),"Không tìm thấy"))</f>
        <v/>
      </c>
      <c r="G164" s="5">
        <f>IF($D164="","",IFERROR(INDEX('DM_HinhThucChiTra'!$B$2:$B$5,AGGREGATE(15,6,ROW('DM_HinhThucChiTra'!$B$2:$B$5)-ROW('DM_HinhThucChiTra'!$B$2)+1/ISNUMBER(SEARCH(SUBSTITUTE(UPPER($D164)," ",""),'DM_HinhThucChiTra'!$C$2:$C$5)),1)),"Không tìm thấy"))</f>
        <v/>
      </c>
      <c r="I164" s="5">
        <f>IF($E164="","",IFERROR(INDEX('DM_HinhThucKham'!$B$2:$B$3,AGGREGATE(15,6,ROW('DM_HinhThucKham'!$B$2:$B$3)-ROW('DM_HinhThucKham'!$B$2)+1/ISNUMBER(SEARCH(SUBSTITUTE(UPPER($E164)," ",""),'DM_HinhThucKham'!$C$2:$C$3)),1)),"Không tìm thấy"))</f>
        <v/>
      </c>
      <c r="P164" s="5">
        <f>IF($K164="","",IFERROR(INDEX('DM_DanToc'!$B$2:$B$78,AGGREGATE(15,6,ROW('DM_DanToc'!$B$2:$B$78)-ROW('DM_DanToc'!$B$2)+1/ISNUMBER(SEARCH(SUBSTITUTE(UPPER($K164)," ",""),'DM_DanToc'!$C$2:$C$78)),1)),"Không tìm thấy"))</f>
        <v/>
      </c>
      <c r="W164" s="5">
        <f>IF($Q164="","",IFERROR(INDEX('DM_TinhThanh'!$B$2:$B$35,AGGREGATE(15,6,ROW('DM_TinhThanh'!$B$2:$B$35)-ROW('DM_TinhThanh'!$B$2)+1/ISNUMBER(SEARCH(SUBSTITUTE(UPPER($Q164)," ",""),'DM_TinhThanh'!$C$2:$C$35)),1)),"Không tìm thấy"))</f>
        <v/>
      </c>
      <c r="Y164" s="5">
        <f>IF($R164="","",IFERROR(INDEX('DM_XaPhuong'!$B$2:$B$169,AGGREGATE(15,6,ROW('DM_XaPhuong'!$B$2:$B$169)-ROW('DM_XaPhuong'!$B$2)+1/ISNUMBER(SEARCH(SUBSTITUTE(UPPER($R164)," ",""),'DM_XaPhuong'!$C$2:$C$169)),1)),"Không tìm thấy"))</f>
        <v/>
      </c>
      <c r="AB164" s="5">
        <f>IF($T164="","",IFERROR(INDEX('DM_NgheNghiep'!$B$2:$B$11,AGGREGATE(15,6,ROW('DM_NgheNghiep'!$B$2:$B$11)-ROW('DM_NgheNghiep'!$B$2)+1/ISNUMBER(SEARCH(SUBSTITUTE(UPPER($T164)," ",""),'DM_NgheNghiep'!$C$2:$C$11)),1)),"Không tìm thấy"))</f>
        <v/>
      </c>
      <c r="AD164" s="5">
        <f>IF($U164="","",IFERROR(INDEX('DM_NoiCongTac'!$B$2:$B$11,AGGREGATE(15,6,ROW('DM_NoiCongTac'!$B$2:$B$11)-ROW('DM_NoiCongTac'!$B$2)+1/ISNUMBER(SEARCH(SUBSTITUTE(UPPER($U164)," ",""),'DM_NoiCongTac'!$C$2:$C$11)),1)),"Không tìm thấy"))</f>
        <v/>
      </c>
      <c r="AF164" s="5">
        <f>IF($V164="","",IFERROR(INDEX('DM_XaPhuong'!$B$2:$B$169,AGGREGATE(15,6,ROW('DM_XaPhuong'!$B$2:$B$169)-ROW('DM_XaPhuong'!$B$2)+1/ISNUMBER(SEARCH(SUBSTITUTE(UPPER($V164)," ",""),'DM_XaPhuong'!$C$2:$C$169)),1)),"Không tìm thấy"))</f>
        <v/>
      </c>
    </row>
    <row r="165">
      <c r="C165" s="5">
        <f>IF($B165="","",IFERROR(INDEX('DM_DoiTuong'!$B$2:$B$19,AGGREGATE(15,6,ROW('DM_DoiTuong'!$B$2:$B$19)-ROW('DM_DoiTuong'!$B$2)+1/ISNUMBER(SEARCH(SUBSTITUTE(UPPER($B165)," ",""),'DM_DoiTuong'!$C$2:$C$19)),1)),"Không tìm thấy"))</f>
        <v/>
      </c>
      <c r="E165" s="5">
        <f>IF($C165="","",IFERROR(INDEX('DM_DiaDiemKham'!$B$2:$B$6,AGGREGATE(15,6,ROW('DM_DiaDiemKham'!$B$2:$B$6)-ROW('DM_DiaDiemKham'!$B$2)+1/ISNUMBER(SEARCH(SUBSTITUTE(UPPER($C165)," ",""),'DM_DiaDiemKham'!$C$2:$C$6)),1)),"Không tìm thấy"))</f>
        <v/>
      </c>
      <c r="G165" s="5">
        <f>IF($D165="","",IFERROR(INDEX('DM_HinhThucChiTra'!$B$2:$B$5,AGGREGATE(15,6,ROW('DM_HinhThucChiTra'!$B$2:$B$5)-ROW('DM_HinhThucChiTra'!$B$2)+1/ISNUMBER(SEARCH(SUBSTITUTE(UPPER($D165)," ",""),'DM_HinhThucChiTra'!$C$2:$C$5)),1)),"Không tìm thấy"))</f>
        <v/>
      </c>
      <c r="I165" s="5">
        <f>IF($E165="","",IFERROR(INDEX('DM_HinhThucKham'!$B$2:$B$3,AGGREGATE(15,6,ROW('DM_HinhThucKham'!$B$2:$B$3)-ROW('DM_HinhThucKham'!$B$2)+1/ISNUMBER(SEARCH(SUBSTITUTE(UPPER($E165)," ",""),'DM_HinhThucKham'!$C$2:$C$3)),1)),"Không tìm thấy"))</f>
        <v/>
      </c>
      <c r="P165" s="5">
        <f>IF($K165="","",IFERROR(INDEX('DM_DanToc'!$B$2:$B$78,AGGREGATE(15,6,ROW('DM_DanToc'!$B$2:$B$78)-ROW('DM_DanToc'!$B$2)+1/ISNUMBER(SEARCH(SUBSTITUTE(UPPER($K165)," ",""),'DM_DanToc'!$C$2:$C$78)),1)),"Không tìm thấy"))</f>
        <v/>
      </c>
      <c r="W165" s="5">
        <f>IF($Q165="","",IFERROR(INDEX('DM_TinhThanh'!$B$2:$B$35,AGGREGATE(15,6,ROW('DM_TinhThanh'!$B$2:$B$35)-ROW('DM_TinhThanh'!$B$2)+1/ISNUMBER(SEARCH(SUBSTITUTE(UPPER($Q165)," ",""),'DM_TinhThanh'!$C$2:$C$35)),1)),"Không tìm thấy"))</f>
        <v/>
      </c>
      <c r="Y165" s="5">
        <f>IF($R165="","",IFERROR(INDEX('DM_XaPhuong'!$B$2:$B$169,AGGREGATE(15,6,ROW('DM_XaPhuong'!$B$2:$B$169)-ROW('DM_XaPhuong'!$B$2)+1/ISNUMBER(SEARCH(SUBSTITUTE(UPPER($R165)," ",""),'DM_XaPhuong'!$C$2:$C$169)),1)),"Không tìm thấy"))</f>
        <v/>
      </c>
      <c r="AB165" s="5">
        <f>IF($T165="","",IFERROR(INDEX('DM_NgheNghiep'!$B$2:$B$11,AGGREGATE(15,6,ROW('DM_NgheNghiep'!$B$2:$B$11)-ROW('DM_NgheNghiep'!$B$2)+1/ISNUMBER(SEARCH(SUBSTITUTE(UPPER($T165)," ",""),'DM_NgheNghiep'!$C$2:$C$11)),1)),"Không tìm thấy"))</f>
        <v/>
      </c>
      <c r="AD165" s="5">
        <f>IF($U165="","",IFERROR(INDEX('DM_NoiCongTac'!$B$2:$B$11,AGGREGATE(15,6,ROW('DM_NoiCongTac'!$B$2:$B$11)-ROW('DM_NoiCongTac'!$B$2)+1/ISNUMBER(SEARCH(SUBSTITUTE(UPPER($U165)," ",""),'DM_NoiCongTac'!$C$2:$C$11)),1)),"Không tìm thấy"))</f>
        <v/>
      </c>
      <c r="AF165" s="5">
        <f>IF($V165="","",IFERROR(INDEX('DM_XaPhuong'!$B$2:$B$169,AGGREGATE(15,6,ROW('DM_XaPhuong'!$B$2:$B$169)-ROW('DM_XaPhuong'!$B$2)+1/ISNUMBER(SEARCH(SUBSTITUTE(UPPER($V165)," ",""),'DM_XaPhuong'!$C$2:$C$169)),1)),"Không tìm thấy"))</f>
        <v/>
      </c>
    </row>
    <row r="166">
      <c r="C166" s="5">
        <f>IF($B166="","",IFERROR(INDEX('DM_DoiTuong'!$B$2:$B$19,AGGREGATE(15,6,ROW('DM_DoiTuong'!$B$2:$B$19)-ROW('DM_DoiTuong'!$B$2)+1/ISNUMBER(SEARCH(SUBSTITUTE(UPPER($B166)," ",""),'DM_DoiTuong'!$C$2:$C$19)),1)),"Không tìm thấy"))</f>
        <v/>
      </c>
      <c r="E166" s="5">
        <f>IF($C166="","",IFERROR(INDEX('DM_DiaDiemKham'!$B$2:$B$6,AGGREGATE(15,6,ROW('DM_DiaDiemKham'!$B$2:$B$6)-ROW('DM_DiaDiemKham'!$B$2)+1/ISNUMBER(SEARCH(SUBSTITUTE(UPPER($C166)," ",""),'DM_DiaDiemKham'!$C$2:$C$6)),1)),"Không tìm thấy"))</f>
        <v/>
      </c>
      <c r="G166" s="5">
        <f>IF($D166="","",IFERROR(INDEX('DM_HinhThucChiTra'!$B$2:$B$5,AGGREGATE(15,6,ROW('DM_HinhThucChiTra'!$B$2:$B$5)-ROW('DM_HinhThucChiTra'!$B$2)+1/ISNUMBER(SEARCH(SUBSTITUTE(UPPER($D166)," ",""),'DM_HinhThucChiTra'!$C$2:$C$5)),1)),"Không tìm thấy"))</f>
        <v/>
      </c>
      <c r="I166" s="5">
        <f>IF($E166="","",IFERROR(INDEX('DM_HinhThucKham'!$B$2:$B$3,AGGREGATE(15,6,ROW('DM_HinhThucKham'!$B$2:$B$3)-ROW('DM_HinhThucKham'!$B$2)+1/ISNUMBER(SEARCH(SUBSTITUTE(UPPER($E166)," ",""),'DM_HinhThucKham'!$C$2:$C$3)),1)),"Không tìm thấy"))</f>
        <v/>
      </c>
      <c r="P166" s="5">
        <f>IF($K166="","",IFERROR(INDEX('DM_DanToc'!$B$2:$B$78,AGGREGATE(15,6,ROW('DM_DanToc'!$B$2:$B$78)-ROW('DM_DanToc'!$B$2)+1/ISNUMBER(SEARCH(SUBSTITUTE(UPPER($K166)," ",""),'DM_DanToc'!$C$2:$C$78)),1)),"Không tìm thấy"))</f>
        <v/>
      </c>
      <c r="W166" s="5">
        <f>IF($Q166="","",IFERROR(INDEX('DM_TinhThanh'!$B$2:$B$35,AGGREGATE(15,6,ROW('DM_TinhThanh'!$B$2:$B$35)-ROW('DM_TinhThanh'!$B$2)+1/ISNUMBER(SEARCH(SUBSTITUTE(UPPER($Q166)," ",""),'DM_TinhThanh'!$C$2:$C$35)),1)),"Không tìm thấy"))</f>
        <v/>
      </c>
      <c r="Y166" s="5">
        <f>IF($R166="","",IFERROR(INDEX('DM_XaPhuong'!$B$2:$B$169,AGGREGATE(15,6,ROW('DM_XaPhuong'!$B$2:$B$169)-ROW('DM_XaPhuong'!$B$2)+1/ISNUMBER(SEARCH(SUBSTITUTE(UPPER($R166)," ",""),'DM_XaPhuong'!$C$2:$C$169)),1)),"Không tìm thấy"))</f>
        <v/>
      </c>
      <c r="AB166" s="5">
        <f>IF($T166="","",IFERROR(INDEX('DM_NgheNghiep'!$B$2:$B$11,AGGREGATE(15,6,ROW('DM_NgheNghiep'!$B$2:$B$11)-ROW('DM_NgheNghiep'!$B$2)+1/ISNUMBER(SEARCH(SUBSTITUTE(UPPER($T166)," ",""),'DM_NgheNghiep'!$C$2:$C$11)),1)),"Không tìm thấy"))</f>
        <v/>
      </c>
      <c r="AD166" s="5">
        <f>IF($U166="","",IFERROR(INDEX('DM_NoiCongTac'!$B$2:$B$11,AGGREGATE(15,6,ROW('DM_NoiCongTac'!$B$2:$B$11)-ROW('DM_NoiCongTac'!$B$2)+1/ISNUMBER(SEARCH(SUBSTITUTE(UPPER($U166)," ",""),'DM_NoiCongTac'!$C$2:$C$11)),1)),"Không tìm thấy"))</f>
        <v/>
      </c>
      <c r="AF166" s="5">
        <f>IF($V166="","",IFERROR(INDEX('DM_XaPhuong'!$B$2:$B$169,AGGREGATE(15,6,ROW('DM_XaPhuong'!$B$2:$B$169)-ROW('DM_XaPhuong'!$B$2)+1/ISNUMBER(SEARCH(SUBSTITUTE(UPPER($V166)," ",""),'DM_XaPhuong'!$C$2:$C$169)),1)),"Không tìm thấy"))</f>
        <v/>
      </c>
    </row>
    <row r="167">
      <c r="C167" s="5">
        <f>IF($B167="","",IFERROR(INDEX('DM_DoiTuong'!$B$2:$B$19,AGGREGATE(15,6,ROW('DM_DoiTuong'!$B$2:$B$19)-ROW('DM_DoiTuong'!$B$2)+1/ISNUMBER(SEARCH(SUBSTITUTE(UPPER($B167)," ",""),'DM_DoiTuong'!$C$2:$C$19)),1)),"Không tìm thấy"))</f>
        <v/>
      </c>
      <c r="E167" s="5">
        <f>IF($C167="","",IFERROR(INDEX('DM_DiaDiemKham'!$B$2:$B$6,AGGREGATE(15,6,ROW('DM_DiaDiemKham'!$B$2:$B$6)-ROW('DM_DiaDiemKham'!$B$2)+1/ISNUMBER(SEARCH(SUBSTITUTE(UPPER($C167)," ",""),'DM_DiaDiemKham'!$C$2:$C$6)),1)),"Không tìm thấy"))</f>
        <v/>
      </c>
      <c r="G167" s="5">
        <f>IF($D167="","",IFERROR(INDEX('DM_HinhThucChiTra'!$B$2:$B$5,AGGREGATE(15,6,ROW('DM_HinhThucChiTra'!$B$2:$B$5)-ROW('DM_HinhThucChiTra'!$B$2)+1/ISNUMBER(SEARCH(SUBSTITUTE(UPPER($D167)," ",""),'DM_HinhThucChiTra'!$C$2:$C$5)),1)),"Không tìm thấy"))</f>
        <v/>
      </c>
      <c r="I167" s="5">
        <f>IF($E167="","",IFERROR(INDEX('DM_HinhThucKham'!$B$2:$B$3,AGGREGATE(15,6,ROW('DM_HinhThucKham'!$B$2:$B$3)-ROW('DM_HinhThucKham'!$B$2)+1/ISNUMBER(SEARCH(SUBSTITUTE(UPPER($E167)," ",""),'DM_HinhThucKham'!$C$2:$C$3)),1)),"Không tìm thấy"))</f>
        <v/>
      </c>
      <c r="P167" s="5">
        <f>IF($K167="","",IFERROR(INDEX('DM_DanToc'!$B$2:$B$78,AGGREGATE(15,6,ROW('DM_DanToc'!$B$2:$B$78)-ROW('DM_DanToc'!$B$2)+1/ISNUMBER(SEARCH(SUBSTITUTE(UPPER($K167)," ",""),'DM_DanToc'!$C$2:$C$78)),1)),"Không tìm thấy"))</f>
        <v/>
      </c>
      <c r="W167" s="5">
        <f>IF($Q167="","",IFERROR(INDEX('DM_TinhThanh'!$B$2:$B$35,AGGREGATE(15,6,ROW('DM_TinhThanh'!$B$2:$B$35)-ROW('DM_TinhThanh'!$B$2)+1/ISNUMBER(SEARCH(SUBSTITUTE(UPPER($Q167)," ",""),'DM_TinhThanh'!$C$2:$C$35)),1)),"Không tìm thấy"))</f>
        <v/>
      </c>
      <c r="Y167" s="5">
        <f>IF($R167="","",IFERROR(INDEX('DM_XaPhuong'!$B$2:$B$169,AGGREGATE(15,6,ROW('DM_XaPhuong'!$B$2:$B$169)-ROW('DM_XaPhuong'!$B$2)+1/ISNUMBER(SEARCH(SUBSTITUTE(UPPER($R167)," ",""),'DM_XaPhuong'!$C$2:$C$169)),1)),"Không tìm thấy"))</f>
        <v/>
      </c>
      <c r="AB167" s="5">
        <f>IF($T167="","",IFERROR(INDEX('DM_NgheNghiep'!$B$2:$B$11,AGGREGATE(15,6,ROW('DM_NgheNghiep'!$B$2:$B$11)-ROW('DM_NgheNghiep'!$B$2)+1/ISNUMBER(SEARCH(SUBSTITUTE(UPPER($T167)," ",""),'DM_NgheNghiep'!$C$2:$C$11)),1)),"Không tìm thấy"))</f>
        <v/>
      </c>
      <c r="AD167" s="5">
        <f>IF($U167="","",IFERROR(INDEX('DM_NoiCongTac'!$B$2:$B$11,AGGREGATE(15,6,ROW('DM_NoiCongTac'!$B$2:$B$11)-ROW('DM_NoiCongTac'!$B$2)+1/ISNUMBER(SEARCH(SUBSTITUTE(UPPER($U167)," ",""),'DM_NoiCongTac'!$C$2:$C$11)),1)),"Không tìm thấy"))</f>
        <v/>
      </c>
      <c r="AF167" s="5">
        <f>IF($V167="","",IFERROR(INDEX('DM_XaPhuong'!$B$2:$B$169,AGGREGATE(15,6,ROW('DM_XaPhuong'!$B$2:$B$169)-ROW('DM_XaPhuong'!$B$2)+1/ISNUMBER(SEARCH(SUBSTITUTE(UPPER($V167)," ",""),'DM_XaPhuong'!$C$2:$C$169)),1)),"Không tìm thấy"))</f>
        <v/>
      </c>
    </row>
    <row r="168">
      <c r="C168" s="5">
        <f>IF($B168="","",IFERROR(INDEX('DM_DoiTuong'!$B$2:$B$19,AGGREGATE(15,6,ROW('DM_DoiTuong'!$B$2:$B$19)-ROW('DM_DoiTuong'!$B$2)+1/ISNUMBER(SEARCH(SUBSTITUTE(UPPER($B168)," ",""),'DM_DoiTuong'!$C$2:$C$19)),1)),"Không tìm thấy"))</f>
        <v/>
      </c>
      <c r="E168" s="5">
        <f>IF($C168="","",IFERROR(INDEX('DM_DiaDiemKham'!$B$2:$B$6,AGGREGATE(15,6,ROW('DM_DiaDiemKham'!$B$2:$B$6)-ROW('DM_DiaDiemKham'!$B$2)+1/ISNUMBER(SEARCH(SUBSTITUTE(UPPER($C168)," ",""),'DM_DiaDiemKham'!$C$2:$C$6)),1)),"Không tìm thấy"))</f>
        <v/>
      </c>
      <c r="G168" s="5">
        <f>IF($D168="","",IFERROR(INDEX('DM_HinhThucChiTra'!$B$2:$B$5,AGGREGATE(15,6,ROW('DM_HinhThucChiTra'!$B$2:$B$5)-ROW('DM_HinhThucChiTra'!$B$2)+1/ISNUMBER(SEARCH(SUBSTITUTE(UPPER($D168)," ",""),'DM_HinhThucChiTra'!$C$2:$C$5)),1)),"Không tìm thấy"))</f>
        <v/>
      </c>
      <c r="I168" s="5">
        <f>IF($E168="","",IFERROR(INDEX('DM_HinhThucKham'!$B$2:$B$3,AGGREGATE(15,6,ROW('DM_HinhThucKham'!$B$2:$B$3)-ROW('DM_HinhThucKham'!$B$2)+1/ISNUMBER(SEARCH(SUBSTITUTE(UPPER($E168)," ",""),'DM_HinhThucKham'!$C$2:$C$3)),1)),"Không tìm thấy"))</f>
        <v/>
      </c>
      <c r="P168" s="5">
        <f>IF($K168="","",IFERROR(INDEX('DM_DanToc'!$B$2:$B$78,AGGREGATE(15,6,ROW('DM_DanToc'!$B$2:$B$78)-ROW('DM_DanToc'!$B$2)+1/ISNUMBER(SEARCH(SUBSTITUTE(UPPER($K168)," ",""),'DM_DanToc'!$C$2:$C$78)),1)),"Không tìm thấy"))</f>
        <v/>
      </c>
      <c r="W168" s="5">
        <f>IF($Q168="","",IFERROR(INDEX('DM_TinhThanh'!$B$2:$B$35,AGGREGATE(15,6,ROW('DM_TinhThanh'!$B$2:$B$35)-ROW('DM_TinhThanh'!$B$2)+1/ISNUMBER(SEARCH(SUBSTITUTE(UPPER($Q168)," ",""),'DM_TinhThanh'!$C$2:$C$35)),1)),"Không tìm thấy"))</f>
        <v/>
      </c>
      <c r="Y168" s="5">
        <f>IF($R168="","",IFERROR(INDEX('DM_XaPhuong'!$B$2:$B$169,AGGREGATE(15,6,ROW('DM_XaPhuong'!$B$2:$B$169)-ROW('DM_XaPhuong'!$B$2)+1/ISNUMBER(SEARCH(SUBSTITUTE(UPPER($R168)," ",""),'DM_XaPhuong'!$C$2:$C$169)),1)),"Không tìm thấy"))</f>
        <v/>
      </c>
      <c r="AB168" s="5">
        <f>IF($T168="","",IFERROR(INDEX('DM_NgheNghiep'!$B$2:$B$11,AGGREGATE(15,6,ROW('DM_NgheNghiep'!$B$2:$B$11)-ROW('DM_NgheNghiep'!$B$2)+1/ISNUMBER(SEARCH(SUBSTITUTE(UPPER($T168)," ",""),'DM_NgheNghiep'!$C$2:$C$11)),1)),"Không tìm thấy"))</f>
        <v/>
      </c>
      <c r="AD168" s="5">
        <f>IF($U168="","",IFERROR(INDEX('DM_NoiCongTac'!$B$2:$B$11,AGGREGATE(15,6,ROW('DM_NoiCongTac'!$B$2:$B$11)-ROW('DM_NoiCongTac'!$B$2)+1/ISNUMBER(SEARCH(SUBSTITUTE(UPPER($U168)," ",""),'DM_NoiCongTac'!$C$2:$C$11)),1)),"Không tìm thấy"))</f>
        <v/>
      </c>
      <c r="AF168" s="5">
        <f>IF($V168="","",IFERROR(INDEX('DM_XaPhuong'!$B$2:$B$169,AGGREGATE(15,6,ROW('DM_XaPhuong'!$B$2:$B$169)-ROW('DM_XaPhuong'!$B$2)+1/ISNUMBER(SEARCH(SUBSTITUTE(UPPER($V168)," ",""),'DM_XaPhuong'!$C$2:$C$169)),1)),"Không tìm thấy"))</f>
        <v/>
      </c>
    </row>
    <row r="169">
      <c r="C169" s="5">
        <f>IF($B169="","",IFERROR(INDEX('DM_DoiTuong'!$B$2:$B$19,AGGREGATE(15,6,ROW('DM_DoiTuong'!$B$2:$B$19)-ROW('DM_DoiTuong'!$B$2)+1/ISNUMBER(SEARCH(SUBSTITUTE(UPPER($B169)," ",""),'DM_DoiTuong'!$C$2:$C$19)),1)),"Không tìm thấy"))</f>
        <v/>
      </c>
      <c r="E169" s="5">
        <f>IF($C169="","",IFERROR(INDEX('DM_DiaDiemKham'!$B$2:$B$6,AGGREGATE(15,6,ROW('DM_DiaDiemKham'!$B$2:$B$6)-ROW('DM_DiaDiemKham'!$B$2)+1/ISNUMBER(SEARCH(SUBSTITUTE(UPPER($C169)," ",""),'DM_DiaDiemKham'!$C$2:$C$6)),1)),"Không tìm thấy"))</f>
        <v/>
      </c>
      <c r="G169" s="5">
        <f>IF($D169="","",IFERROR(INDEX('DM_HinhThucChiTra'!$B$2:$B$5,AGGREGATE(15,6,ROW('DM_HinhThucChiTra'!$B$2:$B$5)-ROW('DM_HinhThucChiTra'!$B$2)+1/ISNUMBER(SEARCH(SUBSTITUTE(UPPER($D169)," ",""),'DM_HinhThucChiTra'!$C$2:$C$5)),1)),"Không tìm thấy"))</f>
        <v/>
      </c>
      <c r="I169" s="5">
        <f>IF($E169="","",IFERROR(INDEX('DM_HinhThucKham'!$B$2:$B$3,AGGREGATE(15,6,ROW('DM_HinhThucKham'!$B$2:$B$3)-ROW('DM_HinhThucKham'!$B$2)+1/ISNUMBER(SEARCH(SUBSTITUTE(UPPER($E169)," ",""),'DM_HinhThucKham'!$C$2:$C$3)),1)),"Không tìm thấy"))</f>
        <v/>
      </c>
      <c r="P169" s="5">
        <f>IF($K169="","",IFERROR(INDEX('DM_DanToc'!$B$2:$B$78,AGGREGATE(15,6,ROW('DM_DanToc'!$B$2:$B$78)-ROW('DM_DanToc'!$B$2)+1/ISNUMBER(SEARCH(SUBSTITUTE(UPPER($K169)," ",""),'DM_DanToc'!$C$2:$C$78)),1)),"Không tìm thấy"))</f>
        <v/>
      </c>
      <c r="W169" s="5">
        <f>IF($Q169="","",IFERROR(INDEX('DM_TinhThanh'!$B$2:$B$35,AGGREGATE(15,6,ROW('DM_TinhThanh'!$B$2:$B$35)-ROW('DM_TinhThanh'!$B$2)+1/ISNUMBER(SEARCH(SUBSTITUTE(UPPER($Q169)," ",""),'DM_TinhThanh'!$C$2:$C$35)),1)),"Không tìm thấy"))</f>
        <v/>
      </c>
      <c r="Y169" s="5">
        <f>IF($R169="","",IFERROR(INDEX('DM_XaPhuong'!$B$2:$B$169,AGGREGATE(15,6,ROW('DM_XaPhuong'!$B$2:$B$169)-ROW('DM_XaPhuong'!$B$2)+1/ISNUMBER(SEARCH(SUBSTITUTE(UPPER($R169)," ",""),'DM_XaPhuong'!$C$2:$C$169)),1)),"Không tìm thấy"))</f>
        <v/>
      </c>
      <c r="AB169" s="5">
        <f>IF($T169="","",IFERROR(INDEX('DM_NgheNghiep'!$B$2:$B$11,AGGREGATE(15,6,ROW('DM_NgheNghiep'!$B$2:$B$11)-ROW('DM_NgheNghiep'!$B$2)+1/ISNUMBER(SEARCH(SUBSTITUTE(UPPER($T169)," ",""),'DM_NgheNghiep'!$C$2:$C$11)),1)),"Không tìm thấy"))</f>
        <v/>
      </c>
      <c r="AD169" s="5">
        <f>IF($U169="","",IFERROR(INDEX('DM_NoiCongTac'!$B$2:$B$11,AGGREGATE(15,6,ROW('DM_NoiCongTac'!$B$2:$B$11)-ROW('DM_NoiCongTac'!$B$2)+1/ISNUMBER(SEARCH(SUBSTITUTE(UPPER($U169)," ",""),'DM_NoiCongTac'!$C$2:$C$11)),1)),"Không tìm thấy"))</f>
        <v/>
      </c>
      <c r="AF169" s="5">
        <f>IF($V169="","",IFERROR(INDEX('DM_XaPhuong'!$B$2:$B$169,AGGREGATE(15,6,ROW('DM_XaPhuong'!$B$2:$B$169)-ROW('DM_XaPhuong'!$B$2)+1/ISNUMBER(SEARCH(SUBSTITUTE(UPPER($V169)," ",""),'DM_XaPhuong'!$C$2:$C$169)),1)),"Không tìm thấy"))</f>
        <v/>
      </c>
    </row>
    <row r="170">
      <c r="C170" s="5">
        <f>IF($B170="","",IFERROR(INDEX('DM_DoiTuong'!$B$2:$B$19,AGGREGATE(15,6,ROW('DM_DoiTuong'!$B$2:$B$19)-ROW('DM_DoiTuong'!$B$2)+1/ISNUMBER(SEARCH(SUBSTITUTE(UPPER($B170)," ",""),'DM_DoiTuong'!$C$2:$C$19)),1)),"Không tìm thấy"))</f>
        <v/>
      </c>
      <c r="E170" s="5">
        <f>IF($C170="","",IFERROR(INDEX('DM_DiaDiemKham'!$B$2:$B$6,AGGREGATE(15,6,ROW('DM_DiaDiemKham'!$B$2:$B$6)-ROW('DM_DiaDiemKham'!$B$2)+1/ISNUMBER(SEARCH(SUBSTITUTE(UPPER($C170)," ",""),'DM_DiaDiemKham'!$C$2:$C$6)),1)),"Không tìm thấy"))</f>
        <v/>
      </c>
      <c r="G170" s="5">
        <f>IF($D170="","",IFERROR(INDEX('DM_HinhThucChiTra'!$B$2:$B$5,AGGREGATE(15,6,ROW('DM_HinhThucChiTra'!$B$2:$B$5)-ROW('DM_HinhThucChiTra'!$B$2)+1/ISNUMBER(SEARCH(SUBSTITUTE(UPPER($D170)," ",""),'DM_HinhThucChiTra'!$C$2:$C$5)),1)),"Không tìm thấy"))</f>
        <v/>
      </c>
      <c r="I170" s="5">
        <f>IF($E170="","",IFERROR(INDEX('DM_HinhThucKham'!$B$2:$B$3,AGGREGATE(15,6,ROW('DM_HinhThucKham'!$B$2:$B$3)-ROW('DM_HinhThucKham'!$B$2)+1/ISNUMBER(SEARCH(SUBSTITUTE(UPPER($E170)," ",""),'DM_HinhThucKham'!$C$2:$C$3)),1)),"Không tìm thấy"))</f>
        <v/>
      </c>
      <c r="P170" s="5">
        <f>IF($K170="","",IFERROR(INDEX('DM_DanToc'!$B$2:$B$78,AGGREGATE(15,6,ROW('DM_DanToc'!$B$2:$B$78)-ROW('DM_DanToc'!$B$2)+1/ISNUMBER(SEARCH(SUBSTITUTE(UPPER($K170)," ",""),'DM_DanToc'!$C$2:$C$78)),1)),"Không tìm thấy"))</f>
        <v/>
      </c>
      <c r="W170" s="5">
        <f>IF($Q170="","",IFERROR(INDEX('DM_TinhThanh'!$B$2:$B$35,AGGREGATE(15,6,ROW('DM_TinhThanh'!$B$2:$B$35)-ROW('DM_TinhThanh'!$B$2)+1/ISNUMBER(SEARCH(SUBSTITUTE(UPPER($Q170)," ",""),'DM_TinhThanh'!$C$2:$C$35)),1)),"Không tìm thấy"))</f>
        <v/>
      </c>
      <c r="Y170" s="5">
        <f>IF($R170="","",IFERROR(INDEX('DM_XaPhuong'!$B$2:$B$169,AGGREGATE(15,6,ROW('DM_XaPhuong'!$B$2:$B$169)-ROW('DM_XaPhuong'!$B$2)+1/ISNUMBER(SEARCH(SUBSTITUTE(UPPER($R170)," ",""),'DM_XaPhuong'!$C$2:$C$169)),1)),"Không tìm thấy"))</f>
        <v/>
      </c>
      <c r="AB170" s="5">
        <f>IF($T170="","",IFERROR(INDEX('DM_NgheNghiep'!$B$2:$B$11,AGGREGATE(15,6,ROW('DM_NgheNghiep'!$B$2:$B$11)-ROW('DM_NgheNghiep'!$B$2)+1/ISNUMBER(SEARCH(SUBSTITUTE(UPPER($T170)," ",""),'DM_NgheNghiep'!$C$2:$C$11)),1)),"Không tìm thấy"))</f>
        <v/>
      </c>
      <c r="AD170" s="5">
        <f>IF($U170="","",IFERROR(INDEX('DM_NoiCongTac'!$B$2:$B$11,AGGREGATE(15,6,ROW('DM_NoiCongTac'!$B$2:$B$11)-ROW('DM_NoiCongTac'!$B$2)+1/ISNUMBER(SEARCH(SUBSTITUTE(UPPER($U170)," ",""),'DM_NoiCongTac'!$C$2:$C$11)),1)),"Không tìm thấy"))</f>
        <v/>
      </c>
      <c r="AF170" s="5">
        <f>IF($V170="","",IFERROR(INDEX('DM_XaPhuong'!$B$2:$B$169,AGGREGATE(15,6,ROW('DM_XaPhuong'!$B$2:$B$169)-ROW('DM_XaPhuong'!$B$2)+1/ISNUMBER(SEARCH(SUBSTITUTE(UPPER($V170)," ",""),'DM_XaPhuong'!$C$2:$C$169)),1)),"Không tìm thấy"))</f>
        <v/>
      </c>
    </row>
    <row r="171">
      <c r="C171" s="5">
        <f>IF($B171="","",IFERROR(INDEX('DM_DoiTuong'!$B$2:$B$19,AGGREGATE(15,6,ROW('DM_DoiTuong'!$B$2:$B$19)-ROW('DM_DoiTuong'!$B$2)+1/ISNUMBER(SEARCH(SUBSTITUTE(UPPER($B171)," ",""),'DM_DoiTuong'!$C$2:$C$19)),1)),"Không tìm thấy"))</f>
        <v/>
      </c>
      <c r="E171" s="5">
        <f>IF($C171="","",IFERROR(INDEX('DM_DiaDiemKham'!$B$2:$B$6,AGGREGATE(15,6,ROW('DM_DiaDiemKham'!$B$2:$B$6)-ROW('DM_DiaDiemKham'!$B$2)+1/ISNUMBER(SEARCH(SUBSTITUTE(UPPER($C171)," ",""),'DM_DiaDiemKham'!$C$2:$C$6)),1)),"Không tìm thấy"))</f>
        <v/>
      </c>
      <c r="G171" s="5">
        <f>IF($D171="","",IFERROR(INDEX('DM_HinhThucChiTra'!$B$2:$B$5,AGGREGATE(15,6,ROW('DM_HinhThucChiTra'!$B$2:$B$5)-ROW('DM_HinhThucChiTra'!$B$2)+1/ISNUMBER(SEARCH(SUBSTITUTE(UPPER($D171)," ",""),'DM_HinhThucChiTra'!$C$2:$C$5)),1)),"Không tìm thấy"))</f>
        <v/>
      </c>
      <c r="I171" s="5">
        <f>IF($E171="","",IFERROR(INDEX('DM_HinhThucKham'!$B$2:$B$3,AGGREGATE(15,6,ROW('DM_HinhThucKham'!$B$2:$B$3)-ROW('DM_HinhThucKham'!$B$2)+1/ISNUMBER(SEARCH(SUBSTITUTE(UPPER($E171)," ",""),'DM_HinhThucKham'!$C$2:$C$3)),1)),"Không tìm thấy"))</f>
        <v/>
      </c>
      <c r="P171" s="5">
        <f>IF($K171="","",IFERROR(INDEX('DM_DanToc'!$B$2:$B$78,AGGREGATE(15,6,ROW('DM_DanToc'!$B$2:$B$78)-ROW('DM_DanToc'!$B$2)+1/ISNUMBER(SEARCH(SUBSTITUTE(UPPER($K171)," ",""),'DM_DanToc'!$C$2:$C$78)),1)),"Không tìm thấy"))</f>
        <v/>
      </c>
      <c r="W171" s="5">
        <f>IF($Q171="","",IFERROR(INDEX('DM_TinhThanh'!$B$2:$B$35,AGGREGATE(15,6,ROW('DM_TinhThanh'!$B$2:$B$35)-ROW('DM_TinhThanh'!$B$2)+1/ISNUMBER(SEARCH(SUBSTITUTE(UPPER($Q171)," ",""),'DM_TinhThanh'!$C$2:$C$35)),1)),"Không tìm thấy"))</f>
        <v/>
      </c>
      <c r="Y171" s="5">
        <f>IF($R171="","",IFERROR(INDEX('DM_XaPhuong'!$B$2:$B$169,AGGREGATE(15,6,ROW('DM_XaPhuong'!$B$2:$B$169)-ROW('DM_XaPhuong'!$B$2)+1/ISNUMBER(SEARCH(SUBSTITUTE(UPPER($R171)," ",""),'DM_XaPhuong'!$C$2:$C$169)),1)),"Không tìm thấy"))</f>
        <v/>
      </c>
      <c r="AB171" s="5">
        <f>IF($T171="","",IFERROR(INDEX('DM_NgheNghiep'!$B$2:$B$11,AGGREGATE(15,6,ROW('DM_NgheNghiep'!$B$2:$B$11)-ROW('DM_NgheNghiep'!$B$2)+1/ISNUMBER(SEARCH(SUBSTITUTE(UPPER($T171)," ",""),'DM_NgheNghiep'!$C$2:$C$11)),1)),"Không tìm thấy"))</f>
        <v/>
      </c>
      <c r="AD171" s="5">
        <f>IF($U171="","",IFERROR(INDEX('DM_NoiCongTac'!$B$2:$B$11,AGGREGATE(15,6,ROW('DM_NoiCongTac'!$B$2:$B$11)-ROW('DM_NoiCongTac'!$B$2)+1/ISNUMBER(SEARCH(SUBSTITUTE(UPPER($U171)," ",""),'DM_NoiCongTac'!$C$2:$C$11)),1)),"Không tìm thấy"))</f>
        <v/>
      </c>
      <c r="AF171" s="5">
        <f>IF($V171="","",IFERROR(INDEX('DM_XaPhuong'!$B$2:$B$169,AGGREGATE(15,6,ROW('DM_XaPhuong'!$B$2:$B$169)-ROW('DM_XaPhuong'!$B$2)+1/ISNUMBER(SEARCH(SUBSTITUTE(UPPER($V171)," ",""),'DM_XaPhuong'!$C$2:$C$169)),1)),"Không tìm thấy"))</f>
        <v/>
      </c>
    </row>
    <row r="172">
      <c r="C172" s="5">
        <f>IF($B172="","",IFERROR(INDEX('DM_DoiTuong'!$B$2:$B$19,AGGREGATE(15,6,ROW('DM_DoiTuong'!$B$2:$B$19)-ROW('DM_DoiTuong'!$B$2)+1/ISNUMBER(SEARCH(SUBSTITUTE(UPPER($B172)," ",""),'DM_DoiTuong'!$C$2:$C$19)),1)),"Không tìm thấy"))</f>
        <v/>
      </c>
      <c r="E172" s="5">
        <f>IF($C172="","",IFERROR(INDEX('DM_DiaDiemKham'!$B$2:$B$6,AGGREGATE(15,6,ROW('DM_DiaDiemKham'!$B$2:$B$6)-ROW('DM_DiaDiemKham'!$B$2)+1/ISNUMBER(SEARCH(SUBSTITUTE(UPPER($C172)," ",""),'DM_DiaDiemKham'!$C$2:$C$6)),1)),"Không tìm thấy"))</f>
        <v/>
      </c>
      <c r="G172" s="5">
        <f>IF($D172="","",IFERROR(INDEX('DM_HinhThucChiTra'!$B$2:$B$5,AGGREGATE(15,6,ROW('DM_HinhThucChiTra'!$B$2:$B$5)-ROW('DM_HinhThucChiTra'!$B$2)+1/ISNUMBER(SEARCH(SUBSTITUTE(UPPER($D172)," ",""),'DM_HinhThucChiTra'!$C$2:$C$5)),1)),"Không tìm thấy"))</f>
        <v/>
      </c>
      <c r="I172" s="5">
        <f>IF($E172="","",IFERROR(INDEX('DM_HinhThucKham'!$B$2:$B$3,AGGREGATE(15,6,ROW('DM_HinhThucKham'!$B$2:$B$3)-ROW('DM_HinhThucKham'!$B$2)+1/ISNUMBER(SEARCH(SUBSTITUTE(UPPER($E172)," ",""),'DM_HinhThucKham'!$C$2:$C$3)),1)),"Không tìm thấy"))</f>
        <v/>
      </c>
      <c r="P172" s="5">
        <f>IF($K172="","",IFERROR(INDEX('DM_DanToc'!$B$2:$B$78,AGGREGATE(15,6,ROW('DM_DanToc'!$B$2:$B$78)-ROW('DM_DanToc'!$B$2)+1/ISNUMBER(SEARCH(SUBSTITUTE(UPPER($K172)," ",""),'DM_DanToc'!$C$2:$C$78)),1)),"Không tìm thấy"))</f>
        <v/>
      </c>
      <c r="W172" s="5">
        <f>IF($Q172="","",IFERROR(INDEX('DM_TinhThanh'!$B$2:$B$35,AGGREGATE(15,6,ROW('DM_TinhThanh'!$B$2:$B$35)-ROW('DM_TinhThanh'!$B$2)+1/ISNUMBER(SEARCH(SUBSTITUTE(UPPER($Q172)," ",""),'DM_TinhThanh'!$C$2:$C$35)),1)),"Không tìm thấy"))</f>
        <v/>
      </c>
      <c r="Y172" s="5">
        <f>IF($R172="","",IFERROR(INDEX('DM_XaPhuong'!$B$2:$B$169,AGGREGATE(15,6,ROW('DM_XaPhuong'!$B$2:$B$169)-ROW('DM_XaPhuong'!$B$2)+1/ISNUMBER(SEARCH(SUBSTITUTE(UPPER($R172)," ",""),'DM_XaPhuong'!$C$2:$C$169)),1)),"Không tìm thấy"))</f>
        <v/>
      </c>
      <c r="AB172" s="5">
        <f>IF($T172="","",IFERROR(INDEX('DM_NgheNghiep'!$B$2:$B$11,AGGREGATE(15,6,ROW('DM_NgheNghiep'!$B$2:$B$11)-ROW('DM_NgheNghiep'!$B$2)+1/ISNUMBER(SEARCH(SUBSTITUTE(UPPER($T172)," ",""),'DM_NgheNghiep'!$C$2:$C$11)),1)),"Không tìm thấy"))</f>
        <v/>
      </c>
      <c r="AD172" s="5">
        <f>IF($U172="","",IFERROR(INDEX('DM_NoiCongTac'!$B$2:$B$11,AGGREGATE(15,6,ROW('DM_NoiCongTac'!$B$2:$B$11)-ROW('DM_NoiCongTac'!$B$2)+1/ISNUMBER(SEARCH(SUBSTITUTE(UPPER($U172)," ",""),'DM_NoiCongTac'!$C$2:$C$11)),1)),"Không tìm thấy"))</f>
        <v/>
      </c>
      <c r="AF172" s="5">
        <f>IF($V172="","",IFERROR(INDEX('DM_XaPhuong'!$B$2:$B$169,AGGREGATE(15,6,ROW('DM_XaPhuong'!$B$2:$B$169)-ROW('DM_XaPhuong'!$B$2)+1/ISNUMBER(SEARCH(SUBSTITUTE(UPPER($V172)," ",""),'DM_XaPhuong'!$C$2:$C$169)),1)),"Không tìm thấy"))</f>
        <v/>
      </c>
    </row>
    <row r="173">
      <c r="C173" s="5">
        <f>IF($B173="","",IFERROR(INDEX('DM_DoiTuong'!$B$2:$B$19,AGGREGATE(15,6,ROW('DM_DoiTuong'!$B$2:$B$19)-ROW('DM_DoiTuong'!$B$2)+1/ISNUMBER(SEARCH(SUBSTITUTE(UPPER($B173)," ",""),'DM_DoiTuong'!$C$2:$C$19)),1)),"Không tìm thấy"))</f>
        <v/>
      </c>
      <c r="E173" s="5">
        <f>IF($C173="","",IFERROR(INDEX('DM_DiaDiemKham'!$B$2:$B$6,AGGREGATE(15,6,ROW('DM_DiaDiemKham'!$B$2:$B$6)-ROW('DM_DiaDiemKham'!$B$2)+1/ISNUMBER(SEARCH(SUBSTITUTE(UPPER($C173)," ",""),'DM_DiaDiemKham'!$C$2:$C$6)),1)),"Không tìm thấy"))</f>
        <v/>
      </c>
      <c r="G173" s="5">
        <f>IF($D173="","",IFERROR(INDEX('DM_HinhThucChiTra'!$B$2:$B$5,AGGREGATE(15,6,ROW('DM_HinhThucChiTra'!$B$2:$B$5)-ROW('DM_HinhThucChiTra'!$B$2)+1/ISNUMBER(SEARCH(SUBSTITUTE(UPPER($D173)," ",""),'DM_HinhThucChiTra'!$C$2:$C$5)),1)),"Không tìm thấy"))</f>
        <v/>
      </c>
      <c r="I173" s="5">
        <f>IF($E173="","",IFERROR(INDEX('DM_HinhThucKham'!$B$2:$B$3,AGGREGATE(15,6,ROW('DM_HinhThucKham'!$B$2:$B$3)-ROW('DM_HinhThucKham'!$B$2)+1/ISNUMBER(SEARCH(SUBSTITUTE(UPPER($E173)," ",""),'DM_HinhThucKham'!$C$2:$C$3)),1)),"Không tìm thấy"))</f>
        <v/>
      </c>
      <c r="P173" s="5">
        <f>IF($K173="","",IFERROR(INDEX('DM_DanToc'!$B$2:$B$78,AGGREGATE(15,6,ROW('DM_DanToc'!$B$2:$B$78)-ROW('DM_DanToc'!$B$2)+1/ISNUMBER(SEARCH(SUBSTITUTE(UPPER($K173)," ",""),'DM_DanToc'!$C$2:$C$78)),1)),"Không tìm thấy"))</f>
        <v/>
      </c>
      <c r="W173" s="5">
        <f>IF($Q173="","",IFERROR(INDEX('DM_TinhThanh'!$B$2:$B$35,AGGREGATE(15,6,ROW('DM_TinhThanh'!$B$2:$B$35)-ROW('DM_TinhThanh'!$B$2)+1/ISNUMBER(SEARCH(SUBSTITUTE(UPPER($Q173)," ",""),'DM_TinhThanh'!$C$2:$C$35)),1)),"Không tìm thấy"))</f>
        <v/>
      </c>
      <c r="Y173" s="5">
        <f>IF($R173="","",IFERROR(INDEX('DM_XaPhuong'!$B$2:$B$169,AGGREGATE(15,6,ROW('DM_XaPhuong'!$B$2:$B$169)-ROW('DM_XaPhuong'!$B$2)+1/ISNUMBER(SEARCH(SUBSTITUTE(UPPER($R173)," ",""),'DM_XaPhuong'!$C$2:$C$169)),1)),"Không tìm thấy"))</f>
        <v/>
      </c>
      <c r="AB173" s="5">
        <f>IF($T173="","",IFERROR(INDEX('DM_NgheNghiep'!$B$2:$B$11,AGGREGATE(15,6,ROW('DM_NgheNghiep'!$B$2:$B$11)-ROW('DM_NgheNghiep'!$B$2)+1/ISNUMBER(SEARCH(SUBSTITUTE(UPPER($T173)," ",""),'DM_NgheNghiep'!$C$2:$C$11)),1)),"Không tìm thấy"))</f>
        <v/>
      </c>
      <c r="AD173" s="5">
        <f>IF($U173="","",IFERROR(INDEX('DM_NoiCongTac'!$B$2:$B$11,AGGREGATE(15,6,ROW('DM_NoiCongTac'!$B$2:$B$11)-ROW('DM_NoiCongTac'!$B$2)+1/ISNUMBER(SEARCH(SUBSTITUTE(UPPER($U173)," ",""),'DM_NoiCongTac'!$C$2:$C$11)),1)),"Không tìm thấy"))</f>
        <v/>
      </c>
      <c r="AF173" s="5">
        <f>IF($V173="","",IFERROR(INDEX('DM_XaPhuong'!$B$2:$B$169,AGGREGATE(15,6,ROW('DM_XaPhuong'!$B$2:$B$169)-ROW('DM_XaPhuong'!$B$2)+1/ISNUMBER(SEARCH(SUBSTITUTE(UPPER($V173)," ",""),'DM_XaPhuong'!$C$2:$C$169)),1)),"Không tìm thấy"))</f>
        <v/>
      </c>
    </row>
    <row r="174">
      <c r="C174" s="5">
        <f>IF($B174="","",IFERROR(INDEX('DM_DoiTuong'!$B$2:$B$19,AGGREGATE(15,6,ROW('DM_DoiTuong'!$B$2:$B$19)-ROW('DM_DoiTuong'!$B$2)+1/ISNUMBER(SEARCH(SUBSTITUTE(UPPER($B174)," ",""),'DM_DoiTuong'!$C$2:$C$19)),1)),"Không tìm thấy"))</f>
        <v/>
      </c>
      <c r="E174" s="5">
        <f>IF($C174="","",IFERROR(INDEX('DM_DiaDiemKham'!$B$2:$B$6,AGGREGATE(15,6,ROW('DM_DiaDiemKham'!$B$2:$B$6)-ROW('DM_DiaDiemKham'!$B$2)+1/ISNUMBER(SEARCH(SUBSTITUTE(UPPER($C174)," ",""),'DM_DiaDiemKham'!$C$2:$C$6)),1)),"Không tìm thấy"))</f>
        <v/>
      </c>
      <c r="G174" s="5">
        <f>IF($D174="","",IFERROR(INDEX('DM_HinhThucChiTra'!$B$2:$B$5,AGGREGATE(15,6,ROW('DM_HinhThucChiTra'!$B$2:$B$5)-ROW('DM_HinhThucChiTra'!$B$2)+1/ISNUMBER(SEARCH(SUBSTITUTE(UPPER($D174)," ",""),'DM_HinhThucChiTra'!$C$2:$C$5)),1)),"Không tìm thấy"))</f>
        <v/>
      </c>
      <c r="I174" s="5">
        <f>IF($E174="","",IFERROR(INDEX('DM_HinhThucKham'!$B$2:$B$3,AGGREGATE(15,6,ROW('DM_HinhThucKham'!$B$2:$B$3)-ROW('DM_HinhThucKham'!$B$2)+1/ISNUMBER(SEARCH(SUBSTITUTE(UPPER($E174)," ",""),'DM_HinhThucKham'!$C$2:$C$3)),1)),"Không tìm thấy"))</f>
        <v/>
      </c>
      <c r="P174" s="5">
        <f>IF($K174="","",IFERROR(INDEX('DM_DanToc'!$B$2:$B$78,AGGREGATE(15,6,ROW('DM_DanToc'!$B$2:$B$78)-ROW('DM_DanToc'!$B$2)+1/ISNUMBER(SEARCH(SUBSTITUTE(UPPER($K174)," ",""),'DM_DanToc'!$C$2:$C$78)),1)),"Không tìm thấy"))</f>
        <v/>
      </c>
      <c r="W174" s="5">
        <f>IF($Q174="","",IFERROR(INDEX('DM_TinhThanh'!$B$2:$B$35,AGGREGATE(15,6,ROW('DM_TinhThanh'!$B$2:$B$35)-ROW('DM_TinhThanh'!$B$2)+1/ISNUMBER(SEARCH(SUBSTITUTE(UPPER($Q174)," ",""),'DM_TinhThanh'!$C$2:$C$35)),1)),"Không tìm thấy"))</f>
        <v/>
      </c>
      <c r="Y174" s="5">
        <f>IF($R174="","",IFERROR(INDEX('DM_XaPhuong'!$B$2:$B$169,AGGREGATE(15,6,ROW('DM_XaPhuong'!$B$2:$B$169)-ROW('DM_XaPhuong'!$B$2)+1/ISNUMBER(SEARCH(SUBSTITUTE(UPPER($R174)," ",""),'DM_XaPhuong'!$C$2:$C$169)),1)),"Không tìm thấy"))</f>
        <v/>
      </c>
      <c r="AB174" s="5">
        <f>IF($T174="","",IFERROR(INDEX('DM_NgheNghiep'!$B$2:$B$11,AGGREGATE(15,6,ROW('DM_NgheNghiep'!$B$2:$B$11)-ROW('DM_NgheNghiep'!$B$2)+1/ISNUMBER(SEARCH(SUBSTITUTE(UPPER($T174)," ",""),'DM_NgheNghiep'!$C$2:$C$11)),1)),"Không tìm thấy"))</f>
        <v/>
      </c>
      <c r="AD174" s="5">
        <f>IF($U174="","",IFERROR(INDEX('DM_NoiCongTac'!$B$2:$B$11,AGGREGATE(15,6,ROW('DM_NoiCongTac'!$B$2:$B$11)-ROW('DM_NoiCongTac'!$B$2)+1/ISNUMBER(SEARCH(SUBSTITUTE(UPPER($U174)," ",""),'DM_NoiCongTac'!$C$2:$C$11)),1)),"Không tìm thấy"))</f>
        <v/>
      </c>
      <c r="AF174" s="5">
        <f>IF($V174="","",IFERROR(INDEX('DM_XaPhuong'!$B$2:$B$169,AGGREGATE(15,6,ROW('DM_XaPhuong'!$B$2:$B$169)-ROW('DM_XaPhuong'!$B$2)+1/ISNUMBER(SEARCH(SUBSTITUTE(UPPER($V174)," ",""),'DM_XaPhuong'!$C$2:$C$169)),1)),"Không tìm thấy"))</f>
        <v/>
      </c>
    </row>
    <row r="175">
      <c r="C175" s="5">
        <f>IF($B175="","",IFERROR(INDEX('DM_DoiTuong'!$B$2:$B$19,AGGREGATE(15,6,ROW('DM_DoiTuong'!$B$2:$B$19)-ROW('DM_DoiTuong'!$B$2)+1/ISNUMBER(SEARCH(SUBSTITUTE(UPPER($B175)," ",""),'DM_DoiTuong'!$C$2:$C$19)),1)),"Không tìm thấy"))</f>
        <v/>
      </c>
      <c r="E175" s="5">
        <f>IF($C175="","",IFERROR(INDEX('DM_DiaDiemKham'!$B$2:$B$6,AGGREGATE(15,6,ROW('DM_DiaDiemKham'!$B$2:$B$6)-ROW('DM_DiaDiemKham'!$B$2)+1/ISNUMBER(SEARCH(SUBSTITUTE(UPPER($C175)," ",""),'DM_DiaDiemKham'!$C$2:$C$6)),1)),"Không tìm thấy"))</f>
        <v/>
      </c>
      <c r="G175" s="5">
        <f>IF($D175="","",IFERROR(INDEX('DM_HinhThucChiTra'!$B$2:$B$5,AGGREGATE(15,6,ROW('DM_HinhThucChiTra'!$B$2:$B$5)-ROW('DM_HinhThucChiTra'!$B$2)+1/ISNUMBER(SEARCH(SUBSTITUTE(UPPER($D175)," ",""),'DM_HinhThucChiTra'!$C$2:$C$5)),1)),"Không tìm thấy"))</f>
        <v/>
      </c>
      <c r="I175" s="5">
        <f>IF($E175="","",IFERROR(INDEX('DM_HinhThucKham'!$B$2:$B$3,AGGREGATE(15,6,ROW('DM_HinhThucKham'!$B$2:$B$3)-ROW('DM_HinhThucKham'!$B$2)+1/ISNUMBER(SEARCH(SUBSTITUTE(UPPER($E175)," ",""),'DM_HinhThucKham'!$C$2:$C$3)),1)),"Không tìm thấy"))</f>
        <v/>
      </c>
      <c r="P175" s="5">
        <f>IF($K175="","",IFERROR(INDEX('DM_DanToc'!$B$2:$B$78,AGGREGATE(15,6,ROW('DM_DanToc'!$B$2:$B$78)-ROW('DM_DanToc'!$B$2)+1/ISNUMBER(SEARCH(SUBSTITUTE(UPPER($K175)," ",""),'DM_DanToc'!$C$2:$C$78)),1)),"Không tìm thấy"))</f>
        <v/>
      </c>
      <c r="W175" s="5">
        <f>IF($Q175="","",IFERROR(INDEX('DM_TinhThanh'!$B$2:$B$35,AGGREGATE(15,6,ROW('DM_TinhThanh'!$B$2:$B$35)-ROW('DM_TinhThanh'!$B$2)+1/ISNUMBER(SEARCH(SUBSTITUTE(UPPER($Q175)," ",""),'DM_TinhThanh'!$C$2:$C$35)),1)),"Không tìm thấy"))</f>
        <v/>
      </c>
      <c r="Y175" s="5">
        <f>IF($R175="","",IFERROR(INDEX('DM_XaPhuong'!$B$2:$B$169,AGGREGATE(15,6,ROW('DM_XaPhuong'!$B$2:$B$169)-ROW('DM_XaPhuong'!$B$2)+1/ISNUMBER(SEARCH(SUBSTITUTE(UPPER($R175)," ",""),'DM_XaPhuong'!$C$2:$C$169)),1)),"Không tìm thấy"))</f>
        <v/>
      </c>
      <c r="AB175" s="5">
        <f>IF($T175="","",IFERROR(INDEX('DM_NgheNghiep'!$B$2:$B$11,AGGREGATE(15,6,ROW('DM_NgheNghiep'!$B$2:$B$11)-ROW('DM_NgheNghiep'!$B$2)+1/ISNUMBER(SEARCH(SUBSTITUTE(UPPER($T175)," ",""),'DM_NgheNghiep'!$C$2:$C$11)),1)),"Không tìm thấy"))</f>
        <v/>
      </c>
      <c r="AD175" s="5">
        <f>IF($U175="","",IFERROR(INDEX('DM_NoiCongTac'!$B$2:$B$11,AGGREGATE(15,6,ROW('DM_NoiCongTac'!$B$2:$B$11)-ROW('DM_NoiCongTac'!$B$2)+1/ISNUMBER(SEARCH(SUBSTITUTE(UPPER($U175)," ",""),'DM_NoiCongTac'!$C$2:$C$11)),1)),"Không tìm thấy"))</f>
        <v/>
      </c>
      <c r="AF175" s="5">
        <f>IF($V175="","",IFERROR(INDEX('DM_XaPhuong'!$B$2:$B$169,AGGREGATE(15,6,ROW('DM_XaPhuong'!$B$2:$B$169)-ROW('DM_XaPhuong'!$B$2)+1/ISNUMBER(SEARCH(SUBSTITUTE(UPPER($V175)," ",""),'DM_XaPhuong'!$C$2:$C$169)),1)),"Không tìm thấy"))</f>
        <v/>
      </c>
    </row>
    <row r="176">
      <c r="C176" s="5">
        <f>IF($B176="","",IFERROR(INDEX('DM_DoiTuong'!$B$2:$B$19,AGGREGATE(15,6,ROW('DM_DoiTuong'!$B$2:$B$19)-ROW('DM_DoiTuong'!$B$2)+1/ISNUMBER(SEARCH(SUBSTITUTE(UPPER($B176)," ",""),'DM_DoiTuong'!$C$2:$C$19)),1)),"Không tìm thấy"))</f>
        <v/>
      </c>
      <c r="E176" s="5">
        <f>IF($C176="","",IFERROR(INDEX('DM_DiaDiemKham'!$B$2:$B$6,AGGREGATE(15,6,ROW('DM_DiaDiemKham'!$B$2:$B$6)-ROW('DM_DiaDiemKham'!$B$2)+1/ISNUMBER(SEARCH(SUBSTITUTE(UPPER($C176)," ",""),'DM_DiaDiemKham'!$C$2:$C$6)),1)),"Không tìm thấy"))</f>
        <v/>
      </c>
      <c r="G176" s="5">
        <f>IF($D176="","",IFERROR(INDEX('DM_HinhThucChiTra'!$B$2:$B$5,AGGREGATE(15,6,ROW('DM_HinhThucChiTra'!$B$2:$B$5)-ROW('DM_HinhThucChiTra'!$B$2)+1/ISNUMBER(SEARCH(SUBSTITUTE(UPPER($D176)," ",""),'DM_HinhThucChiTra'!$C$2:$C$5)),1)),"Không tìm thấy"))</f>
        <v/>
      </c>
      <c r="I176" s="5">
        <f>IF($E176="","",IFERROR(INDEX('DM_HinhThucKham'!$B$2:$B$3,AGGREGATE(15,6,ROW('DM_HinhThucKham'!$B$2:$B$3)-ROW('DM_HinhThucKham'!$B$2)+1/ISNUMBER(SEARCH(SUBSTITUTE(UPPER($E176)," ",""),'DM_HinhThucKham'!$C$2:$C$3)),1)),"Không tìm thấy"))</f>
        <v/>
      </c>
      <c r="P176" s="5">
        <f>IF($K176="","",IFERROR(INDEX('DM_DanToc'!$B$2:$B$78,AGGREGATE(15,6,ROW('DM_DanToc'!$B$2:$B$78)-ROW('DM_DanToc'!$B$2)+1/ISNUMBER(SEARCH(SUBSTITUTE(UPPER($K176)," ",""),'DM_DanToc'!$C$2:$C$78)),1)),"Không tìm thấy"))</f>
        <v/>
      </c>
      <c r="W176" s="5">
        <f>IF($Q176="","",IFERROR(INDEX('DM_TinhThanh'!$B$2:$B$35,AGGREGATE(15,6,ROW('DM_TinhThanh'!$B$2:$B$35)-ROW('DM_TinhThanh'!$B$2)+1/ISNUMBER(SEARCH(SUBSTITUTE(UPPER($Q176)," ",""),'DM_TinhThanh'!$C$2:$C$35)),1)),"Không tìm thấy"))</f>
        <v/>
      </c>
      <c r="Y176" s="5">
        <f>IF($R176="","",IFERROR(INDEX('DM_XaPhuong'!$B$2:$B$169,AGGREGATE(15,6,ROW('DM_XaPhuong'!$B$2:$B$169)-ROW('DM_XaPhuong'!$B$2)+1/ISNUMBER(SEARCH(SUBSTITUTE(UPPER($R176)," ",""),'DM_XaPhuong'!$C$2:$C$169)),1)),"Không tìm thấy"))</f>
        <v/>
      </c>
      <c r="AB176" s="5">
        <f>IF($T176="","",IFERROR(INDEX('DM_NgheNghiep'!$B$2:$B$11,AGGREGATE(15,6,ROW('DM_NgheNghiep'!$B$2:$B$11)-ROW('DM_NgheNghiep'!$B$2)+1/ISNUMBER(SEARCH(SUBSTITUTE(UPPER($T176)," ",""),'DM_NgheNghiep'!$C$2:$C$11)),1)),"Không tìm thấy"))</f>
        <v/>
      </c>
      <c r="AD176" s="5">
        <f>IF($U176="","",IFERROR(INDEX('DM_NoiCongTac'!$B$2:$B$11,AGGREGATE(15,6,ROW('DM_NoiCongTac'!$B$2:$B$11)-ROW('DM_NoiCongTac'!$B$2)+1/ISNUMBER(SEARCH(SUBSTITUTE(UPPER($U176)," ",""),'DM_NoiCongTac'!$C$2:$C$11)),1)),"Không tìm thấy"))</f>
        <v/>
      </c>
      <c r="AF176" s="5">
        <f>IF($V176="","",IFERROR(INDEX('DM_XaPhuong'!$B$2:$B$169,AGGREGATE(15,6,ROW('DM_XaPhuong'!$B$2:$B$169)-ROW('DM_XaPhuong'!$B$2)+1/ISNUMBER(SEARCH(SUBSTITUTE(UPPER($V176)," ",""),'DM_XaPhuong'!$C$2:$C$169)),1)),"Không tìm thấy"))</f>
        <v/>
      </c>
    </row>
    <row r="177">
      <c r="C177" s="5">
        <f>IF($B177="","",IFERROR(INDEX('DM_DoiTuong'!$B$2:$B$19,AGGREGATE(15,6,ROW('DM_DoiTuong'!$B$2:$B$19)-ROW('DM_DoiTuong'!$B$2)+1/ISNUMBER(SEARCH(SUBSTITUTE(UPPER($B177)," ",""),'DM_DoiTuong'!$C$2:$C$19)),1)),"Không tìm thấy"))</f>
        <v/>
      </c>
      <c r="E177" s="5">
        <f>IF($C177="","",IFERROR(INDEX('DM_DiaDiemKham'!$B$2:$B$6,AGGREGATE(15,6,ROW('DM_DiaDiemKham'!$B$2:$B$6)-ROW('DM_DiaDiemKham'!$B$2)+1/ISNUMBER(SEARCH(SUBSTITUTE(UPPER($C177)," ",""),'DM_DiaDiemKham'!$C$2:$C$6)),1)),"Không tìm thấy"))</f>
        <v/>
      </c>
      <c r="G177" s="5">
        <f>IF($D177="","",IFERROR(INDEX('DM_HinhThucChiTra'!$B$2:$B$5,AGGREGATE(15,6,ROW('DM_HinhThucChiTra'!$B$2:$B$5)-ROW('DM_HinhThucChiTra'!$B$2)+1/ISNUMBER(SEARCH(SUBSTITUTE(UPPER($D177)," ",""),'DM_HinhThucChiTra'!$C$2:$C$5)),1)),"Không tìm thấy"))</f>
        <v/>
      </c>
      <c r="I177" s="5">
        <f>IF($E177="","",IFERROR(INDEX('DM_HinhThucKham'!$B$2:$B$3,AGGREGATE(15,6,ROW('DM_HinhThucKham'!$B$2:$B$3)-ROW('DM_HinhThucKham'!$B$2)+1/ISNUMBER(SEARCH(SUBSTITUTE(UPPER($E177)," ",""),'DM_HinhThucKham'!$C$2:$C$3)),1)),"Không tìm thấy"))</f>
        <v/>
      </c>
      <c r="P177" s="5">
        <f>IF($K177="","",IFERROR(INDEX('DM_DanToc'!$B$2:$B$78,AGGREGATE(15,6,ROW('DM_DanToc'!$B$2:$B$78)-ROW('DM_DanToc'!$B$2)+1/ISNUMBER(SEARCH(SUBSTITUTE(UPPER($K177)," ",""),'DM_DanToc'!$C$2:$C$78)),1)),"Không tìm thấy"))</f>
        <v/>
      </c>
      <c r="W177" s="5">
        <f>IF($Q177="","",IFERROR(INDEX('DM_TinhThanh'!$B$2:$B$35,AGGREGATE(15,6,ROW('DM_TinhThanh'!$B$2:$B$35)-ROW('DM_TinhThanh'!$B$2)+1/ISNUMBER(SEARCH(SUBSTITUTE(UPPER($Q177)," ",""),'DM_TinhThanh'!$C$2:$C$35)),1)),"Không tìm thấy"))</f>
        <v/>
      </c>
      <c r="Y177" s="5">
        <f>IF($R177="","",IFERROR(INDEX('DM_XaPhuong'!$B$2:$B$169,AGGREGATE(15,6,ROW('DM_XaPhuong'!$B$2:$B$169)-ROW('DM_XaPhuong'!$B$2)+1/ISNUMBER(SEARCH(SUBSTITUTE(UPPER($R177)," ",""),'DM_XaPhuong'!$C$2:$C$169)),1)),"Không tìm thấy"))</f>
        <v/>
      </c>
      <c r="AB177" s="5">
        <f>IF($T177="","",IFERROR(INDEX('DM_NgheNghiep'!$B$2:$B$11,AGGREGATE(15,6,ROW('DM_NgheNghiep'!$B$2:$B$11)-ROW('DM_NgheNghiep'!$B$2)+1/ISNUMBER(SEARCH(SUBSTITUTE(UPPER($T177)," ",""),'DM_NgheNghiep'!$C$2:$C$11)),1)),"Không tìm thấy"))</f>
        <v/>
      </c>
      <c r="AD177" s="5">
        <f>IF($U177="","",IFERROR(INDEX('DM_NoiCongTac'!$B$2:$B$11,AGGREGATE(15,6,ROW('DM_NoiCongTac'!$B$2:$B$11)-ROW('DM_NoiCongTac'!$B$2)+1/ISNUMBER(SEARCH(SUBSTITUTE(UPPER($U177)," ",""),'DM_NoiCongTac'!$C$2:$C$11)),1)),"Không tìm thấy"))</f>
        <v/>
      </c>
      <c r="AF177" s="5">
        <f>IF($V177="","",IFERROR(INDEX('DM_XaPhuong'!$B$2:$B$169,AGGREGATE(15,6,ROW('DM_XaPhuong'!$B$2:$B$169)-ROW('DM_XaPhuong'!$B$2)+1/ISNUMBER(SEARCH(SUBSTITUTE(UPPER($V177)," ",""),'DM_XaPhuong'!$C$2:$C$169)),1)),"Không tìm thấy"))</f>
        <v/>
      </c>
    </row>
    <row r="178">
      <c r="C178" s="5">
        <f>IF($B178="","",IFERROR(INDEX('DM_DoiTuong'!$B$2:$B$19,AGGREGATE(15,6,ROW('DM_DoiTuong'!$B$2:$B$19)-ROW('DM_DoiTuong'!$B$2)+1/ISNUMBER(SEARCH(SUBSTITUTE(UPPER($B178)," ",""),'DM_DoiTuong'!$C$2:$C$19)),1)),"Không tìm thấy"))</f>
        <v/>
      </c>
      <c r="E178" s="5">
        <f>IF($C178="","",IFERROR(INDEX('DM_DiaDiemKham'!$B$2:$B$6,AGGREGATE(15,6,ROW('DM_DiaDiemKham'!$B$2:$B$6)-ROW('DM_DiaDiemKham'!$B$2)+1/ISNUMBER(SEARCH(SUBSTITUTE(UPPER($C178)," ",""),'DM_DiaDiemKham'!$C$2:$C$6)),1)),"Không tìm thấy"))</f>
        <v/>
      </c>
      <c r="G178" s="5">
        <f>IF($D178="","",IFERROR(INDEX('DM_HinhThucChiTra'!$B$2:$B$5,AGGREGATE(15,6,ROW('DM_HinhThucChiTra'!$B$2:$B$5)-ROW('DM_HinhThucChiTra'!$B$2)+1/ISNUMBER(SEARCH(SUBSTITUTE(UPPER($D178)," ",""),'DM_HinhThucChiTra'!$C$2:$C$5)),1)),"Không tìm thấy"))</f>
        <v/>
      </c>
      <c r="I178" s="5">
        <f>IF($E178="","",IFERROR(INDEX('DM_HinhThucKham'!$B$2:$B$3,AGGREGATE(15,6,ROW('DM_HinhThucKham'!$B$2:$B$3)-ROW('DM_HinhThucKham'!$B$2)+1/ISNUMBER(SEARCH(SUBSTITUTE(UPPER($E178)," ",""),'DM_HinhThucKham'!$C$2:$C$3)),1)),"Không tìm thấy"))</f>
        <v/>
      </c>
      <c r="P178" s="5">
        <f>IF($K178="","",IFERROR(INDEX('DM_DanToc'!$B$2:$B$78,AGGREGATE(15,6,ROW('DM_DanToc'!$B$2:$B$78)-ROW('DM_DanToc'!$B$2)+1/ISNUMBER(SEARCH(SUBSTITUTE(UPPER($K178)," ",""),'DM_DanToc'!$C$2:$C$78)),1)),"Không tìm thấy"))</f>
        <v/>
      </c>
      <c r="W178" s="5">
        <f>IF($Q178="","",IFERROR(INDEX('DM_TinhThanh'!$B$2:$B$35,AGGREGATE(15,6,ROW('DM_TinhThanh'!$B$2:$B$35)-ROW('DM_TinhThanh'!$B$2)+1/ISNUMBER(SEARCH(SUBSTITUTE(UPPER($Q178)," ",""),'DM_TinhThanh'!$C$2:$C$35)),1)),"Không tìm thấy"))</f>
        <v/>
      </c>
      <c r="Y178" s="5">
        <f>IF($R178="","",IFERROR(INDEX('DM_XaPhuong'!$B$2:$B$169,AGGREGATE(15,6,ROW('DM_XaPhuong'!$B$2:$B$169)-ROW('DM_XaPhuong'!$B$2)+1/ISNUMBER(SEARCH(SUBSTITUTE(UPPER($R178)," ",""),'DM_XaPhuong'!$C$2:$C$169)),1)),"Không tìm thấy"))</f>
        <v/>
      </c>
      <c r="AB178" s="5">
        <f>IF($T178="","",IFERROR(INDEX('DM_NgheNghiep'!$B$2:$B$11,AGGREGATE(15,6,ROW('DM_NgheNghiep'!$B$2:$B$11)-ROW('DM_NgheNghiep'!$B$2)+1/ISNUMBER(SEARCH(SUBSTITUTE(UPPER($T178)," ",""),'DM_NgheNghiep'!$C$2:$C$11)),1)),"Không tìm thấy"))</f>
        <v/>
      </c>
      <c r="AD178" s="5">
        <f>IF($U178="","",IFERROR(INDEX('DM_NoiCongTac'!$B$2:$B$11,AGGREGATE(15,6,ROW('DM_NoiCongTac'!$B$2:$B$11)-ROW('DM_NoiCongTac'!$B$2)+1/ISNUMBER(SEARCH(SUBSTITUTE(UPPER($U178)," ",""),'DM_NoiCongTac'!$C$2:$C$11)),1)),"Không tìm thấy"))</f>
        <v/>
      </c>
      <c r="AF178" s="5">
        <f>IF($V178="","",IFERROR(INDEX('DM_XaPhuong'!$B$2:$B$169,AGGREGATE(15,6,ROW('DM_XaPhuong'!$B$2:$B$169)-ROW('DM_XaPhuong'!$B$2)+1/ISNUMBER(SEARCH(SUBSTITUTE(UPPER($V178)," ",""),'DM_XaPhuong'!$C$2:$C$169)),1)),"Không tìm thấy"))</f>
        <v/>
      </c>
    </row>
    <row r="179">
      <c r="C179" s="5">
        <f>IF($B179="","",IFERROR(INDEX('DM_DoiTuong'!$B$2:$B$19,AGGREGATE(15,6,ROW('DM_DoiTuong'!$B$2:$B$19)-ROW('DM_DoiTuong'!$B$2)+1/ISNUMBER(SEARCH(SUBSTITUTE(UPPER($B179)," ",""),'DM_DoiTuong'!$C$2:$C$19)),1)),"Không tìm thấy"))</f>
        <v/>
      </c>
      <c r="E179" s="5">
        <f>IF($C179="","",IFERROR(INDEX('DM_DiaDiemKham'!$B$2:$B$6,AGGREGATE(15,6,ROW('DM_DiaDiemKham'!$B$2:$B$6)-ROW('DM_DiaDiemKham'!$B$2)+1/ISNUMBER(SEARCH(SUBSTITUTE(UPPER($C179)," ",""),'DM_DiaDiemKham'!$C$2:$C$6)),1)),"Không tìm thấy"))</f>
        <v/>
      </c>
      <c r="G179" s="5">
        <f>IF($D179="","",IFERROR(INDEX('DM_HinhThucChiTra'!$B$2:$B$5,AGGREGATE(15,6,ROW('DM_HinhThucChiTra'!$B$2:$B$5)-ROW('DM_HinhThucChiTra'!$B$2)+1/ISNUMBER(SEARCH(SUBSTITUTE(UPPER($D179)," ",""),'DM_HinhThucChiTra'!$C$2:$C$5)),1)),"Không tìm thấy"))</f>
        <v/>
      </c>
      <c r="I179" s="5">
        <f>IF($E179="","",IFERROR(INDEX('DM_HinhThucKham'!$B$2:$B$3,AGGREGATE(15,6,ROW('DM_HinhThucKham'!$B$2:$B$3)-ROW('DM_HinhThucKham'!$B$2)+1/ISNUMBER(SEARCH(SUBSTITUTE(UPPER($E179)," ",""),'DM_HinhThucKham'!$C$2:$C$3)),1)),"Không tìm thấy"))</f>
        <v/>
      </c>
      <c r="P179" s="5">
        <f>IF($K179="","",IFERROR(INDEX('DM_DanToc'!$B$2:$B$78,AGGREGATE(15,6,ROW('DM_DanToc'!$B$2:$B$78)-ROW('DM_DanToc'!$B$2)+1/ISNUMBER(SEARCH(SUBSTITUTE(UPPER($K179)," ",""),'DM_DanToc'!$C$2:$C$78)),1)),"Không tìm thấy"))</f>
        <v/>
      </c>
      <c r="W179" s="5">
        <f>IF($Q179="","",IFERROR(INDEX('DM_TinhThanh'!$B$2:$B$35,AGGREGATE(15,6,ROW('DM_TinhThanh'!$B$2:$B$35)-ROW('DM_TinhThanh'!$B$2)+1/ISNUMBER(SEARCH(SUBSTITUTE(UPPER($Q179)," ",""),'DM_TinhThanh'!$C$2:$C$35)),1)),"Không tìm thấy"))</f>
        <v/>
      </c>
      <c r="Y179" s="5">
        <f>IF($R179="","",IFERROR(INDEX('DM_XaPhuong'!$B$2:$B$169,AGGREGATE(15,6,ROW('DM_XaPhuong'!$B$2:$B$169)-ROW('DM_XaPhuong'!$B$2)+1/ISNUMBER(SEARCH(SUBSTITUTE(UPPER($R179)," ",""),'DM_XaPhuong'!$C$2:$C$169)),1)),"Không tìm thấy"))</f>
        <v/>
      </c>
      <c r="AB179" s="5">
        <f>IF($T179="","",IFERROR(INDEX('DM_NgheNghiep'!$B$2:$B$11,AGGREGATE(15,6,ROW('DM_NgheNghiep'!$B$2:$B$11)-ROW('DM_NgheNghiep'!$B$2)+1/ISNUMBER(SEARCH(SUBSTITUTE(UPPER($T179)," ",""),'DM_NgheNghiep'!$C$2:$C$11)),1)),"Không tìm thấy"))</f>
        <v/>
      </c>
      <c r="AD179" s="5">
        <f>IF($U179="","",IFERROR(INDEX('DM_NoiCongTac'!$B$2:$B$11,AGGREGATE(15,6,ROW('DM_NoiCongTac'!$B$2:$B$11)-ROW('DM_NoiCongTac'!$B$2)+1/ISNUMBER(SEARCH(SUBSTITUTE(UPPER($U179)," ",""),'DM_NoiCongTac'!$C$2:$C$11)),1)),"Không tìm thấy"))</f>
        <v/>
      </c>
      <c r="AF179" s="5">
        <f>IF($V179="","",IFERROR(INDEX('DM_XaPhuong'!$B$2:$B$169,AGGREGATE(15,6,ROW('DM_XaPhuong'!$B$2:$B$169)-ROW('DM_XaPhuong'!$B$2)+1/ISNUMBER(SEARCH(SUBSTITUTE(UPPER($V179)," ",""),'DM_XaPhuong'!$C$2:$C$169)),1)),"Không tìm thấy"))</f>
        <v/>
      </c>
    </row>
    <row r="180">
      <c r="C180" s="5">
        <f>IF($B180="","",IFERROR(INDEX('DM_DoiTuong'!$B$2:$B$19,AGGREGATE(15,6,ROW('DM_DoiTuong'!$B$2:$B$19)-ROW('DM_DoiTuong'!$B$2)+1/ISNUMBER(SEARCH(SUBSTITUTE(UPPER($B180)," ",""),'DM_DoiTuong'!$C$2:$C$19)),1)),"Không tìm thấy"))</f>
        <v/>
      </c>
      <c r="E180" s="5">
        <f>IF($C180="","",IFERROR(INDEX('DM_DiaDiemKham'!$B$2:$B$6,AGGREGATE(15,6,ROW('DM_DiaDiemKham'!$B$2:$B$6)-ROW('DM_DiaDiemKham'!$B$2)+1/ISNUMBER(SEARCH(SUBSTITUTE(UPPER($C180)," ",""),'DM_DiaDiemKham'!$C$2:$C$6)),1)),"Không tìm thấy"))</f>
        <v/>
      </c>
      <c r="G180" s="5">
        <f>IF($D180="","",IFERROR(INDEX('DM_HinhThucChiTra'!$B$2:$B$5,AGGREGATE(15,6,ROW('DM_HinhThucChiTra'!$B$2:$B$5)-ROW('DM_HinhThucChiTra'!$B$2)+1/ISNUMBER(SEARCH(SUBSTITUTE(UPPER($D180)," ",""),'DM_HinhThucChiTra'!$C$2:$C$5)),1)),"Không tìm thấy"))</f>
        <v/>
      </c>
      <c r="I180" s="5">
        <f>IF($E180="","",IFERROR(INDEX('DM_HinhThucKham'!$B$2:$B$3,AGGREGATE(15,6,ROW('DM_HinhThucKham'!$B$2:$B$3)-ROW('DM_HinhThucKham'!$B$2)+1/ISNUMBER(SEARCH(SUBSTITUTE(UPPER($E180)," ",""),'DM_HinhThucKham'!$C$2:$C$3)),1)),"Không tìm thấy"))</f>
        <v/>
      </c>
      <c r="P180" s="5">
        <f>IF($K180="","",IFERROR(INDEX('DM_DanToc'!$B$2:$B$78,AGGREGATE(15,6,ROW('DM_DanToc'!$B$2:$B$78)-ROW('DM_DanToc'!$B$2)+1/ISNUMBER(SEARCH(SUBSTITUTE(UPPER($K180)," ",""),'DM_DanToc'!$C$2:$C$78)),1)),"Không tìm thấy"))</f>
        <v/>
      </c>
      <c r="W180" s="5">
        <f>IF($Q180="","",IFERROR(INDEX('DM_TinhThanh'!$B$2:$B$35,AGGREGATE(15,6,ROW('DM_TinhThanh'!$B$2:$B$35)-ROW('DM_TinhThanh'!$B$2)+1/ISNUMBER(SEARCH(SUBSTITUTE(UPPER($Q180)," ",""),'DM_TinhThanh'!$C$2:$C$35)),1)),"Không tìm thấy"))</f>
        <v/>
      </c>
      <c r="Y180" s="5">
        <f>IF($R180="","",IFERROR(INDEX('DM_XaPhuong'!$B$2:$B$169,AGGREGATE(15,6,ROW('DM_XaPhuong'!$B$2:$B$169)-ROW('DM_XaPhuong'!$B$2)+1/ISNUMBER(SEARCH(SUBSTITUTE(UPPER($R180)," ",""),'DM_XaPhuong'!$C$2:$C$169)),1)),"Không tìm thấy"))</f>
        <v/>
      </c>
      <c r="AB180" s="5">
        <f>IF($T180="","",IFERROR(INDEX('DM_NgheNghiep'!$B$2:$B$11,AGGREGATE(15,6,ROW('DM_NgheNghiep'!$B$2:$B$11)-ROW('DM_NgheNghiep'!$B$2)+1/ISNUMBER(SEARCH(SUBSTITUTE(UPPER($T180)," ",""),'DM_NgheNghiep'!$C$2:$C$11)),1)),"Không tìm thấy"))</f>
        <v/>
      </c>
      <c r="AD180" s="5">
        <f>IF($U180="","",IFERROR(INDEX('DM_NoiCongTac'!$B$2:$B$11,AGGREGATE(15,6,ROW('DM_NoiCongTac'!$B$2:$B$11)-ROW('DM_NoiCongTac'!$B$2)+1/ISNUMBER(SEARCH(SUBSTITUTE(UPPER($U180)," ",""),'DM_NoiCongTac'!$C$2:$C$11)),1)),"Không tìm thấy"))</f>
        <v/>
      </c>
      <c r="AF180" s="5">
        <f>IF($V180="","",IFERROR(INDEX('DM_XaPhuong'!$B$2:$B$169,AGGREGATE(15,6,ROW('DM_XaPhuong'!$B$2:$B$169)-ROW('DM_XaPhuong'!$B$2)+1/ISNUMBER(SEARCH(SUBSTITUTE(UPPER($V180)," ",""),'DM_XaPhuong'!$C$2:$C$169)),1)),"Không tìm thấy"))</f>
        <v/>
      </c>
    </row>
    <row r="181">
      <c r="C181" s="5">
        <f>IF($B181="","",IFERROR(INDEX('DM_DoiTuong'!$B$2:$B$19,AGGREGATE(15,6,ROW('DM_DoiTuong'!$B$2:$B$19)-ROW('DM_DoiTuong'!$B$2)+1/ISNUMBER(SEARCH(SUBSTITUTE(UPPER($B181)," ",""),'DM_DoiTuong'!$C$2:$C$19)),1)),"Không tìm thấy"))</f>
        <v/>
      </c>
      <c r="E181" s="5">
        <f>IF($C181="","",IFERROR(INDEX('DM_DiaDiemKham'!$B$2:$B$6,AGGREGATE(15,6,ROW('DM_DiaDiemKham'!$B$2:$B$6)-ROW('DM_DiaDiemKham'!$B$2)+1/ISNUMBER(SEARCH(SUBSTITUTE(UPPER($C181)," ",""),'DM_DiaDiemKham'!$C$2:$C$6)),1)),"Không tìm thấy"))</f>
        <v/>
      </c>
      <c r="G181" s="5">
        <f>IF($D181="","",IFERROR(INDEX('DM_HinhThucChiTra'!$B$2:$B$5,AGGREGATE(15,6,ROW('DM_HinhThucChiTra'!$B$2:$B$5)-ROW('DM_HinhThucChiTra'!$B$2)+1/ISNUMBER(SEARCH(SUBSTITUTE(UPPER($D181)," ",""),'DM_HinhThucChiTra'!$C$2:$C$5)),1)),"Không tìm thấy"))</f>
        <v/>
      </c>
      <c r="I181" s="5">
        <f>IF($E181="","",IFERROR(INDEX('DM_HinhThucKham'!$B$2:$B$3,AGGREGATE(15,6,ROW('DM_HinhThucKham'!$B$2:$B$3)-ROW('DM_HinhThucKham'!$B$2)+1/ISNUMBER(SEARCH(SUBSTITUTE(UPPER($E181)," ",""),'DM_HinhThucKham'!$C$2:$C$3)),1)),"Không tìm thấy"))</f>
        <v/>
      </c>
      <c r="P181" s="5">
        <f>IF($K181="","",IFERROR(INDEX('DM_DanToc'!$B$2:$B$78,AGGREGATE(15,6,ROW('DM_DanToc'!$B$2:$B$78)-ROW('DM_DanToc'!$B$2)+1/ISNUMBER(SEARCH(SUBSTITUTE(UPPER($K181)," ",""),'DM_DanToc'!$C$2:$C$78)),1)),"Không tìm thấy"))</f>
        <v/>
      </c>
      <c r="W181" s="5">
        <f>IF($Q181="","",IFERROR(INDEX('DM_TinhThanh'!$B$2:$B$35,AGGREGATE(15,6,ROW('DM_TinhThanh'!$B$2:$B$35)-ROW('DM_TinhThanh'!$B$2)+1/ISNUMBER(SEARCH(SUBSTITUTE(UPPER($Q181)," ",""),'DM_TinhThanh'!$C$2:$C$35)),1)),"Không tìm thấy"))</f>
        <v/>
      </c>
      <c r="Y181" s="5">
        <f>IF($R181="","",IFERROR(INDEX('DM_XaPhuong'!$B$2:$B$169,AGGREGATE(15,6,ROW('DM_XaPhuong'!$B$2:$B$169)-ROW('DM_XaPhuong'!$B$2)+1/ISNUMBER(SEARCH(SUBSTITUTE(UPPER($R181)," ",""),'DM_XaPhuong'!$C$2:$C$169)),1)),"Không tìm thấy"))</f>
        <v/>
      </c>
      <c r="AB181" s="5">
        <f>IF($T181="","",IFERROR(INDEX('DM_NgheNghiep'!$B$2:$B$11,AGGREGATE(15,6,ROW('DM_NgheNghiep'!$B$2:$B$11)-ROW('DM_NgheNghiep'!$B$2)+1/ISNUMBER(SEARCH(SUBSTITUTE(UPPER($T181)," ",""),'DM_NgheNghiep'!$C$2:$C$11)),1)),"Không tìm thấy"))</f>
        <v/>
      </c>
      <c r="AD181" s="5">
        <f>IF($U181="","",IFERROR(INDEX('DM_NoiCongTac'!$B$2:$B$11,AGGREGATE(15,6,ROW('DM_NoiCongTac'!$B$2:$B$11)-ROW('DM_NoiCongTac'!$B$2)+1/ISNUMBER(SEARCH(SUBSTITUTE(UPPER($U181)," ",""),'DM_NoiCongTac'!$C$2:$C$11)),1)),"Không tìm thấy"))</f>
        <v/>
      </c>
      <c r="AF181" s="5">
        <f>IF($V181="","",IFERROR(INDEX('DM_XaPhuong'!$B$2:$B$169,AGGREGATE(15,6,ROW('DM_XaPhuong'!$B$2:$B$169)-ROW('DM_XaPhuong'!$B$2)+1/ISNUMBER(SEARCH(SUBSTITUTE(UPPER($V181)," ",""),'DM_XaPhuong'!$C$2:$C$169)),1)),"Không tìm thấy"))</f>
        <v/>
      </c>
    </row>
    <row r="182">
      <c r="C182" s="5">
        <f>IF($B182="","",IFERROR(INDEX('DM_DoiTuong'!$B$2:$B$19,AGGREGATE(15,6,ROW('DM_DoiTuong'!$B$2:$B$19)-ROW('DM_DoiTuong'!$B$2)+1/ISNUMBER(SEARCH(SUBSTITUTE(UPPER($B182)," ",""),'DM_DoiTuong'!$C$2:$C$19)),1)),"Không tìm thấy"))</f>
        <v/>
      </c>
      <c r="E182" s="5">
        <f>IF($C182="","",IFERROR(INDEX('DM_DiaDiemKham'!$B$2:$B$6,AGGREGATE(15,6,ROW('DM_DiaDiemKham'!$B$2:$B$6)-ROW('DM_DiaDiemKham'!$B$2)+1/ISNUMBER(SEARCH(SUBSTITUTE(UPPER($C182)," ",""),'DM_DiaDiemKham'!$C$2:$C$6)),1)),"Không tìm thấy"))</f>
        <v/>
      </c>
      <c r="G182" s="5">
        <f>IF($D182="","",IFERROR(INDEX('DM_HinhThucChiTra'!$B$2:$B$5,AGGREGATE(15,6,ROW('DM_HinhThucChiTra'!$B$2:$B$5)-ROW('DM_HinhThucChiTra'!$B$2)+1/ISNUMBER(SEARCH(SUBSTITUTE(UPPER($D182)," ",""),'DM_HinhThucChiTra'!$C$2:$C$5)),1)),"Không tìm thấy"))</f>
        <v/>
      </c>
      <c r="I182" s="5">
        <f>IF($E182="","",IFERROR(INDEX('DM_HinhThucKham'!$B$2:$B$3,AGGREGATE(15,6,ROW('DM_HinhThucKham'!$B$2:$B$3)-ROW('DM_HinhThucKham'!$B$2)+1/ISNUMBER(SEARCH(SUBSTITUTE(UPPER($E182)," ",""),'DM_HinhThucKham'!$C$2:$C$3)),1)),"Không tìm thấy"))</f>
        <v/>
      </c>
      <c r="P182" s="5">
        <f>IF($K182="","",IFERROR(INDEX('DM_DanToc'!$B$2:$B$78,AGGREGATE(15,6,ROW('DM_DanToc'!$B$2:$B$78)-ROW('DM_DanToc'!$B$2)+1/ISNUMBER(SEARCH(SUBSTITUTE(UPPER($K182)," ",""),'DM_DanToc'!$C$2:$C$78)),1)),"Không tìm thấy"))</f>
        <v/>
      </c>
      <c r="W182" s="5">
        <f>IF($Q182="","",IFERROR(INDEX('DM_TinhThanh'!$B$2:$B$35,AGGREGATE(15,6,ROW('DM_TinhThanh'!$B$2:$B$35)-ROW('DM_TinhThanh'!$B$2)+1/ISNUMBER(SEARCH(SUBSTITUTE(UPPER($Q182)," ",""),'DM_TinhThanh'!$C$2:$C$35)),1)),"Không tìm thấy"))</f>
        <v/>
      </c>
      <c r="Y182" s="5">
        <f>IF($R182="","",IFERROR(INDEX('DM_XaPhuong'!$B$2:$B$169,AGGREGATE(15,6,ROW('DM_XaPhuong'!$B$2:$B$169)-ROW('DM_XaPhuong'!$B$2)+1/ISNUMBER(SEARCH(SUBSTITUTE(UPPER($R182)," ",""),'DM_XaPhuong'!$C$2:$C$169)),1)),"Không tìm thấy"))</f>
        <v/>
      </c>
      <c r="AB182" s="5">
        <f>IF($T182="","",IFERROR(INDEX('DM_NgheNghiep'!$B$2:$B$11,AGGREGATE(15,6,ROW('DM_NgheNghiep'!$B$2:$B$11)-ROW('DM_NgheNghiep'!$B$2)+1/ISNUMBER(SEARCH(SUBSTITUTE(UPPER($T182)," ",""),'DM_NgheNghiep'!$C$2:$C$11)),1)),"Không tìm thấy"))</f>
        <v/>
      </c>
      <c r="AD182" s="5">
        <f>IF($U182="","",IFERROR(INDEX('DM_NoiCongTac'!$B$2:$B$11,AGGREGATE(15,6,ROW('DM_NoiCongTac'!$B$2:$B$11)-ROW('DM_NoiCongTac'!$B$2)+1/ISNUMBER(SEARCH(SUBSTITUTE(UPPER($U182)," ",""),'DM_NoiCongTac'!$C$2:$C$11)),1)),"Không tìm thấy"))</f>
        <v/>
      </c>
      <c r="AF182" s="5">
        <f>IF($V182="","",IFERROR(INDEX('DM_XaPhuong'!$B$2:$B$169,AGGREGATE(15,6,ROW('DM_XaPhuong'!$B$2:$B$169)-ROW('DM_XaPhuong'!$B$2)+1/ISNUMBER(SEARCH(SUBSTITUTE(UPPER($V182)," ",""),'DM_XaPhuong'!$C$2:$C$169)),1)),"Không tìm thấy"))</f>
        <v/>
      </c>
    </row>
    <row r="183">
      <c r="C183" s="5">
        <f>IF($B183="","",IFERROR(INDEX('DM_DoiTuong'!$B$2:$B$19,AGGREGATE(15,6,ROW('DM_DoiTuong'!$B$2:$B$19)-ROW('DM_DoiTuong'!$B$2)+1/ISNUMBER(SEARCH(SUBSTITUTE(UPPER($B183)," ",""),'DM_DoiTuong'!$C$2:$C$19)),1)),"Không tìm thấy"))</f>
        <v/>
      </c>
      <c r="E183" s="5">
        <f>IF($C183="","",IFERROR(INDEX('DM_DiaDiemKham'!$B$2:$B$6,AGGREGATE(15,6,ROW('DM_DiaDiemKham'!$B$2:$B$6)-ROW('DM_DiaDiemKham'!$B$2)+1/ISNUMBER(SEARCH(SUBSTITUTE(UPPER($C183)," ",""),'DM_DiaDiemKham'!$C$2:$C$6)),1)),"Không tìm thấy"))</f>
        <v/>
      </c>
      <c r="G183" s="5">
        <f>IF($D183="","",IFERROR(INDEX('DM_HinhThucChiTra'!$B$2:$B$5,AGGREGATE(15,6,ROW('DM_HinhThucChiTra'!$B$2:$B$5)-ROW('DM_HinhThucChiTra'!$B$2)+1/ISNUMBER(SEARCH(SUBSTITUTE(UPPER($D183)," ",""),'DM_HinhThucChiTra'!$C$2:$C$5)),1)),"Không tìm thấy"))</f>
        <v/>
      </c>
      <c r="I183" s="5">
        <f>IF($E183="","",IFERROR(INDEX('DM_HinhThucKham'!$B$2:$B$3,AGGREGATE(15,6,ROW('DM_HinhThucKham'!$B$2:$B$3)-ROW('DM_HinhThucKham'!$B$2)+1/ISNUMBER(SEARCH(SUBSTITUTE(UPPER($E183)," ",""),'DM_HinhThucKham'!$C$2:$C$3)),1)),"Không tìm thấy"))</f>
        <v/>
      </c>
      <c r="P183" s="5">
        <f>IF($K183="","",IFERROR(INDEX('DM_DanToc'!$B$2:$B$78,AGGREGATE(15,6,ROW('DM_DanToc'!$B$2:$B$78)-ROW('DM_DanToc'!$B$2)+1/ISNUMBER(SEARCH(SUBSTITUTE(UPPER($K183)," ",""),'DM_DanToc'!$C$2:$C$78)),1)),"Không tìm thấy"))</f>
        <v/>
      </c>
      <c r="W183" s="5">
        <f>IF($Q183="","",IFERROR(INDEX('DM_TinhThanh'!$B$2:$B$35,AGGREGATE(15,6,ROW('DM_TinhThanh'!$B$2:$B$35)-ROW('DM_TinhThanh'!$B$2)+1/ISNUMBER(SEARCH(SUBSTITUTE(UPPER($Q183)," ",""),'DM_TinhThanh'!$C$2:$C$35)),1)),"Không tìm thấy"))</f>
        <v/>
      </c>
      <c r="Y183" s="5">
        <f>IF($R183="","",IFERROR(INDEX('DM_XaPhuong'!$B$2:$B$169,AGGREGATE(15,6,ROW('DM_XaPhuong'!$B$2:$B$169)-ROW('DM_XaPhuong'!$B$2)+1/ISNUMBER(SEARCH(SUBSTITUTE(UPPER($R183)," ",""),'DM_XaPhuong'!$C$2:$C$169)),1)),"Không tìm thấy"))</f>
        <v/>
      </c>
      <c r="AB183" s="5">
        <f>IF($T183="","",IFERROR(INDEX('DM_NgheNghiep'!$B$2:$B$11,AGGREGATE(15,6,ROW('DM_NgheNghiep'!$B$2:$B$11)-ROW('DM_NgheNghiep'!$B$2)+1/ISNUMBER(SEARCH(SUBSTITUTE(UPPER($T183)," ",""),'DM_NgheNghiep'!$C$2:$C$11)),1)),"Không tìm thấy"))</f>
        <v/>
      </c>
      <c r="AD183" s="5">
        <f>IF($U183="","",IFERROR(INDEX('DM_NoiCongTac'!$B$2:$B$11,AGGREGATE(15,6,ROW('DM_NoiCongTac'!$B$2:$B$11)-ROW('DM_NoiCongTac'!$B$2)+1/ISNUMBER(SEARCH(SUBSTITUTE(UPPER($U183)," ",""),'DM_NoiCongTac'!$C$2:$C$11)),1)),"Không tìm thấy"))</f>
        <v/>
      </c>
      <c r="AF183" s="5">
        <f>IF($V183="","",IFERROR(INDEX('DM_XaPhuong'!$B$2:$B$169,AGGREGATE(15,6,ROW('DM_XaPhuong'!$B$2:$B$169)-ROW('DM_XaPhuong'!$B$2)+1/ISNUMBER(SEARCH(SUBSTITUTE(UPPER($V183)," ",""),'DM_XaPhuong'!$C$2:$C$169)),1)),"Không tìm thấy"))</f>
        <v/>
      </c>
    </row>
    <row r="184">
      <c r="C184" s="5">
        <f>IF($B184="","",IFERROR(INDEX('DM_DoiTuong'!$B$2:$B$19,AGGREGATE(15,6,ROW('DM_DoiTuong'!$B$2:$B$19)-ROW('DM_DoiTuong'!$B$2)+1/ISNUMBER(SEARCH(SUBSTITUTE(UPPER($B184)," ",""),'DM_DoiTuong'!$C$2:$C$19)),1)),"Không tìm thấy"))</f>
        <v/>
      </c>
      <c r="E184" s="5">
        <f>IF($C184="","",IFERROR(INDEX('DM_DiaDiemKham'!$B$2:$B$6,AGGREGATE(15,6,ROW('DM_DiaDiemKham'!$B$2:$B$6)-ROW('DM_DiaDiemKham'!$B$2)+1/ISNUMBER(SEARCH(SUBSTITUTE(UPPER($C184)," ",""),'DM_DiaDiemKham'!$C$2:$C$6)),1)),"Không tìm thấy"))</f>
        <v/>
      </c>
      <c r="G184" s="5">
        <f>IF($D184="","",IFERROR(INDEX('DM_HinhThucChiTra'!$B$2:$B$5,AGGREGATE(15,6,ROW('DM_HinhThucChiTra'!$B$2:$B$5)-ROW('DM_HinhThucChiTra'!$B$2)+1/ISNUMBER(SEARCH(SUBSTITUTE(UPPER($D184)," ",""),'DM_HinhThucChiTra'!$C$2:$C$5)),1)),"Không tìm thấy"))</f>
        <v/>
      </c>
      <c r="I184" s="5">
        <f>IF($E184="","",IFERROR(INDEX('DM_HinhThucKham'!$B$2:$B$3,AGGREGATE(15,6,ROW('DM_HinhThucKham'!$B$2:$B$3)-ROW('DM_HinhThucKham'!$B$2)+1/ISNUMBER(SEARCH(SUBSTITUTE(UPPER($E184)," ",""),'DM_HinhThucKham'!$C$2:$C$3)),1)),"Không tìm thấy"))</f>
        <v/>
      </c>
      <c r="P184" s="5">
        <f>IF($K184="","",IFERROR(INDEX('DM_DanToc'!$B$2:$B$78,AGGREGATE(15,6,ROW('DM_DanToc'!$B$2:$B$78)-ROW('DM_DanToc'!$B$2)+1/ISNUMBER(SEARCH(SUBSTITUTE(UPPER($K184)," ",""),'DM_DanToc'!$C$2:$C$78)),1)),"Không tìm thấy"))</f>
        <v/>
      </c>
      <c r="W184" s="5">
        <f>IF($Q184="","",IFERROR(INDEX('DM_TinhThanh'!$B$2:$B$35,AGGREGATE(15,6,ROW('DM_TinhThanh'!$B$2:$B$35)-ROW('DM_TinhThanh'!$B$2)+1/ISNUMBER(SEARCH(SUBSTITUTE(UPPER($Q184)," ",""),'DM_TinhThanh'!$C$2:$C$35)),1)),"Không tìm thấy"))</f>
        <v/>
      </c>
      <c r="Y184" s="5">
        <f>IF($R184="","",IFERROR(INDEX('DM_XaPhuong'!$B$2:$B$169,AGGREGATE(15,6,ROW('DM_XaPhuong'!$B$2:$B$169)-ROW('DM_XaPhuong'!$B$2)+1/ISNUMBER(SEARCH(SUBSTITUTE(UPPER($R184)," ",""),'DM_XaPhuong'!$C$2:$C$169)),1)),"Không tìm thấy"))</f>
        <v/>
      </c>
      <c r="AB184" s="5">
        <f>IF($T184="","",IFERROR(INDEX('DM_NgheNghiep'!$B$2:$B$11,AGGREGATE(15,6,ROW('DM_NgheNghiep'!$B$2:$B$11)-ROW('DM_NgheNghiep'!$B$2)+1/ISNUMBER(SEARCH(SUBSTITUTE(UPPER($T184)," ",""),'DM_NgheNghiep'!$C$2:$C$11)),1)),"Không tìm thấy"))</f>
        <v/>
      </c>
      <c r="AD184" s="5">
        <f>IF($U184="","",IFERROR(INDEX('DM_NoiCongTac'!$B$2:$B$11,AGGREGATE(15,6,ROW('DM_NoiCongTac'!$B$2:$B$11)-ROW('DM_NoiCongTac'!$B$2)+1/ISNUMBER(SEARCH(SUBSTITUTE(UPPER($U184)," ",""),'DM_NoiCongTac'!$C$2:$C$11)),1)),"Không tìm thấy"))</f>
        <v/>
      </c>
      <c r="AF184" s="5">
        <f>IF($V184="","",IFERROR(INDEX('DM_XaPhuong'!$B$2:$B$169,AGGREGATE(15,6,ROW('DM_XaPhuong'!$B$2:$B$169)-ROW('DM_XaPhuong'!$B$2)+1/ISNUMBER(SEARCH(SUBSTITUTE(UPPER($V184)," ",""),'DM_XaPhuong'!$C$2:$C$169)),1)),"Không tìm thấy"))</f>
        <v/>
      </c>
    </row>
    <row r="185">
      <c r="C185" s="5">
        <f>IF($B185="","",IFERROR(INDEX('DM_DoiTuong'!$B$2:$B$19,AGGREGATE(15,6,ROW('DM_DoiTuong'!$B$2:$B$19)-ROW('DM_DoiTuong'!$B$2)+1/ISNUMBER(SEARCH(SUBSTITUTE(UPPER($B185)," ",""),'DM_DoiTuong'!$C$2:$C$19)),1)),"Không tìm thấy"))</f>
        <v/>
      </c>
      <c r="E185" s="5">
        <f>IF($C185="","",IFERROR(INDEX('DM_DiaDiemKham'!$B$2:$B$6,AGGREGATE(15,6,ROW('DM_DiaDiemKham'!$B$2:$B$6)-ROW('DM_DiaDiemKham'!$B$2)+1/ISNUMBER(SEARCH(SUBSTITUTE(UPPER($C185)," ",""),'DM_DiaDiemKham'!$C$2:$C$6)),1)),"Không tìm thấy"))</f>
        <v/>
      </c>
      <c r="G185" s="5">
        <f>IF($D185="","",IFERROR(INDEX('DM_HinhThucChiTra'!$B$2:$B$5,AGGREGATE(15,6,ROW('DM_HinhThucChiTra'!$B$2:$B$5)-ROW('DM_HinhThucChiTra'!$B$2)+1/ISNUMBER(SEARCH(SUBSTITUTE(UPPER($D185)," ",""),'DM_HinhThucChiTra'!$C$2:$C$5)),1)),"Không tìm thấy"))</f>
        <v/>
      </c>
      <c r="I185" s="5">
        <f>IF($E185="","",IFERROR(INDEX('DM_HinhThucKham'!$B$2:$B$3,AGGREGATE(15,6,ROW('DM_HinhThucKham'!$B$2:$B$3)-ROW('DM_HinhThucKham'!$B$2)+1/ISNUMBER(SEARCH(SUBSTITUTE(UPPER($E185)," ",""),'DM_HinhThucKham'!$C$2:$C$3)),1)),"Không tìm thấy"))</f>
        <v/>
      </c>
      <c r="P185" s="5">
        <f>IF($K185="","",IFERROR(INDEX('DM_DanToc'!$B$2:$B$78,AGGREGATE(15,6,ROW('DM_DanToc'!$B$2:$B$78)-ROW('DM_DanToc'!$B$2)+1/ISNUMBER(SEARCH(SUBSTITUTE(UPPER($K185)," ",""),'DM_DanToc'!$C$2:$C$78)),1)),"Không tìm thấy"))</f>
        <v/>
      </c>
      <c r="W185" s="5">
        <f>IF($Q185="","",IFERROR(INDEX('DM_TinhThanh'!$B$2:$B$35,AGGREGATE(15,6,ROW('DM_TinhThanh'!$B$2:$B$35)-ROW('DM_TinhThanh'!$B$2)+1/ISNUMBER(SEARCH(SUBSTITUTE(UPPER($Q185)," ",""),'DM_TinhThanh'!$C$2:$C$35)),1)),"Không tìm thấy"))</f>
        <v/>
      </c>
      <c r="Y185" s="5">
        <f>IF($R185="","",IFERROR(INDEX('DM_XaPhuong'!$B$2:$B$169,AGGREGATE(15,6,ROW('DM_XaPhuong'!$B$2:$B$169)-ROW('DM_XaPhuong'!$B$2)+1/ISNUMBER(SEARCH(SUBSTITUTE(UPPER($R185)," ",""),'DM_XaPhuong'!$C$2:$C$169)),1)),"Không tìm thấy"))</f>
        <v/>
      </c>
      <c r="AB185" s="5">
        <f>IF($T185="","",IFERROR(INDEX('DM_NgheNghiep'!$B$2:$B$11,AGGREGATE(15,6,ROW('DM_NgheNghiep'!$B$2:$B$11)-ROW('DM_NgheNghiep'!$B$2)+1/ISNUMBER(SEARCH(SUBSTITUTE(UPPER($T185)," ",""),'DM_NgheNghiep'!$C$2:$C$11)),1)),"Không tìm thấy"))</f>
        <v/>
      </c>
      <c r="AD185" s="5">
        <f>IF($U185="","",IFERROR(INDEX('DM_NoiCongTac'!$B$2:$B$11,AGGREGATE(15,6,ROW('DM_NoiCongTac'!$B$2:$B$11)-ROW('DM_NoiCongTac'!$B$2)+1/ISNUMBER(SEARCH(SUBSTITUTE(UPPER($U185)," ",""),'DM_NoiCongTac'!$C$2:$C$11)),1)),"Không tìm thấy"))</f>
        <v/>
      </c>
      <c r="AF185" s="5">
        <f>IF($V185="","",IFERROR(INDEX('DM_XaPhuong'!$B$2:$B$169,AGGREGATE(15,6,ROW('DM_XaPhuong'!$B$2:$B$169)-ROW('DM_XaPhuong'!$B$2)+1/ISNUMBER(SEARCH(SUBSTITUTE(UPPER($V185)," ",""),'DM_XaPhuong'!$C$2:$C$169)),1)),"Không tìm thấy"))</f>
        <v/>
      </c>
    </row>
    <row r="186">
      <c r="C186" s="5">
        <f>IF($B186="","",IFERROR(INDEX('DM_DoiTuong'!$B$2:$B$19,AGGREGATE(15,6,ROW('DM_DoiTuong'!$B$2:$B$19)-ROW('DM_DoiTuong'!$B$2)+1/ISNUMBER(SEARCH(SUBSTITUTE(UPPER($B186)," ",""),'DM_DoiTuong'!$C$2:$C$19)),1)),"Không tìm thấy"))</f>
        <v/>
      </c>
      <c r="E186" s="5">
        <f>IF($C186="","",IFERROR(INDEX('DM_DiaDiemKham'!$B$2:$B$6,AGGREGATE(15,6,ROW('DM_DiaDiemKham'!$B$2:$B$6)-ROW('DM_DiaDiemKham'!$B$2)+1/ISNUMBER(SEARCH(SUBSTITUTE(UPPER($C186)," ",""),'DM_DiaDiemKham'!$C$2:$C$6)),1)),"Không tìm thấy"))</f>
        <v/>
      </c>
      <c r="G186" s="5">
        <f>IF($D186="","",IFERROR(INDEX('DM_HinhThucChiTra'!$B$2:$B$5,AGGREGATE(15,6,ROW('DM_HinhThucChiTra'!$B$2:$B$5)-ROW('DM_HinhThucChiTra'!$B$2)+1/ISNUMBER(SEARCH(SUBSTITUTE(UPPER($D186)," ",""),'DM_HinhThucChiTra'!$C$2:$C$5)),1)),"Không tìm thấy"))</f>
        <v/>
      </c>
      <c r="I186" s="5">
        <f>IF($E186="","",IFERROR(INDEX('DM_HinhThucKham'!$B$2:$B$3,AGGREGATE(15,6,ROW('DM_HinhThucKham'!$B$2:$B$3)-ROW('DM_HinhThucKham'!$B$2)+1/ISNUMBER(SEARCH(SUBSTITUTE(UPPER($E186)," ",""),'DM_HinhThucKham'!$C$2:$C$3)),1)),"Không tìm thấy"))</f>
        <v/>
      </c>
      <c r="P186" s="5">
        <f>IF($K186="","",IFERROR(INDEX('DM_DanToc'!$B$2:$B$78,AGGREGATE(15,6,ROW('DM_DanToc'!$B$2:$B$78)-ROW('DM_DanToc'!$B$2)+1/ISNUMBER(SEARCH(SUBSTITUTE(UPPER($K186)," ",""),'DM_DanToc'!$C$2:$C$78)),1)),"Không tìm thấy"))</f>
        <v/>
      </c>
      <c r="W186" s="5">
        <f>IF($Q186="","",IFERROR(INDEX('DM_TinhThanh'!$B$2:$B$35,AGGREGATE(15,6,ROW('DM_TinhThanh'!$B$2:$B$35)-ROW('DM_TinhThanh'!$B$2)+1/ISNUMBER(SEARCH(SUBSTITUTE(UPPER($Q186)," ",""),'DM_TinhThanh'!$C$2:$C$35)),1)),"Không tìm thấy"))</f>
        <v/>
      </c>
      <c r="Y186" s="5">
        <f>IF($R186="","",IFERROR(INDEX('DM_XaPhuong'!$B$2:$B$169,AGGREGATE(15,6,ROW('DM_XaPhuong'!$B$2:$B$169)-ROW('DM_XaPhuong'!$B$2)+1/ISNUMBER(SEARCH(SUBSTITUTE(UPPER($R186)," ",""),'DM_XaPhuong'!$C$2:$C$169)),1)),"Không tìm thấy"))</f>
        <v/>
      </c>
      <c r="AB186" s="5">
        <f>IF($T186="","",IFERROR(INDEX('DM_NgheNghiep'!$B$2:$B$11,AGGREGATE(15,6,ROW('DM_NgheNghiep'!$B$2:$B$11)-ROW('DM_NgheNghiep'!$B$2)+1/ISNUMBER(SEARCH(SUBSTITUTE(UPPER($T186)," ",""),'DM_NgheNghiep'!$C$2:$C$11)),1)),"Không tìm thấy"))</f>
        <v/>
      </c>
      <c r="AD186" s="5">
        <f>IF($U186="","",IFERROR(INDEX('DM_NoiCongTac'!$B$2:$B$11,AGGREGATE(15,6,ROW('DM_NoiCongTac'!$B$2:$B$11)-ROW('DM_NoiCongTac'!$B$2)+1/ISNUMBER(SEARCH(SUBSTITUTE(UPPER($U186)," ",""),'DM_NoiCongTac'!$C$2:$C$11)),1)),"Không tìm thấy"))</f>
        <v/>
      </c>
      <c r="AF186" s="5">
        <f>IF($V186="","",IFERROR(INDEX('DM_XaPhuong'!$B$2:$B$169,AGGREGATE(15,6,ROW('DM_XaPhuong'!$B$2:$B$169)-ROW('DM_XaPhuong'!$B$2)+1/ISNUMBER(SEARCH(SUBSTITUTE(UPPER($V186)," ",""),'DM_XaPhuong'!$C$2:$C$169)),1)),"Không tìm thấy"))</f>
        <v/>
      </c>
    </row>
    <row r="187">
      <c r="C187" s="5">
        <f>IF($B187="","",IFERROR(INDEX('DM_DoiTuong'!$B$2:$B$19,AGGREGATE(15,6,ROW('DM_DoiTuong'!$B$2:$B$19)-ROW('DM_DoiTuong'!$B$2)+1/ISNUMBER(SEARCH(SUBSTITUTE(UPPER($B187)," ",""),'DM_DoiTuong'!$C$2:$C$19)),1)),"Không tìm thấy"))</f>
        <v/>
      </c>
      <c r="E187" s="5">
        <f>IF($C187="","",IFERROR(INDEX('DM_DiaDiemKham'!$B$2:$B$6,AGGREGATE(15,6,ROW('DM_DiaDiemKham'!$B$2:$B$6)-ROW('DM_DiaDiemKham'!$B$2)+1/ISNUMBER(SEARCH(SUBSTITUTE(UPPER($C187)," ",""),'DM_DiaDiemKham'!$C$2:$C$6)),1)),"Không tìm thấy"))</f>
        <v/>
      </c>
      <c r="G187" s="5">
        <f>IF($D187="","",IFERROR(INDEX('DM_HinhThucChiTra'!$B$2:$B$5,AGGREGATE(15,6,ROW('DM_HinhThucChiTra'!$B$2:$B$5)-ROW('DM_HinhThucChiTra'!$B$2)+1/ISNUMBER(SEARCH(SUBSTITUTE(UPPER($D187)," ",""),'DM_HinhThucChiTra'!$C$2:$C$5)),1)),"Không tìm thấy"))</f>
        <v/>
      </c>
      <c r="I187" s="5">
        <f>IF($E187="","",IFERROR(INDEX('DM_HinhThucKham'!$B$2:$B$3,AGGREGATE(15,6,ROW('DM_HinhThucKham'!$B$2:$B$3)-ROW('DM_HinhThucKham'!$B$2)+1/ISNUMBER(SEARCH(SUBSTITUTE(UPPER($E187)," ",""),'DM_HinhThucKham'!$C$2:$C$3)),1)),"Không tìm thấy"))</f>
        <v/>
      </c>
      <c r="P187" s="5">
        <f>IF($K187="","",IFERROR(INDEX('DM_DanToc'!$B$2:$B$78,AGGREGATE(15,6,ROW('DM_DanToc'!$B$2:$B$78)-ROW('DM_DanToc'!$B$2)+1/ISNUMBER(SEARCH(SUBSTITUTE(UPPER($K187)," ",""),'DM_DanToc'!$C$2:$C$78)),1)),"Không tìm thấy"))</f>
        <v/>
      </c>
      <c r="W187" s="5">
        <f>IF($Q187="","",IFERROR(INDEX('DM_TinhThanh'!$B$2:$B$35,AGGREGATE(15,6,ROW('DM_TinhThanh'!$B$2:$B$35)-ROW('DM_TinhThanh'!$B$2)+1/ISNUMBER(SEARCH(SUBSTITUTE(UPPER($Q187)," ",""),'DM_TinhThanh'!$C$2:$C$35)),1)),"Không tìm thấy"))</f>
        <v/>
      </c>
      <c r="Y187" s="5">
        <f>IF($R187="","",IFERROR(INDEX('DM_XaPhuong'!$B$2:$B$169,AGGREGATE(15,6,ROW('DM_XaPhuong'!$B$2:$B$169)-ROW('DM_XaPhuong'!$B$2)+1/ISNUMBER(SEARCH(SUBSTITUTE(UPPER($R187)," ",""),'DM_XaPhuong'!$C$2:$C$169)),1)),"Không tìm thấy"))</f>
        <v/>
      </c>
      <c r="AB187" s="5">
        <f>IF($T187="","",IFERROR(INDEX('DM_NgheNghiep'!$B$2:$B$11,AGGREGATE(15,6,ROW('DM_NgheNghiep'!$B$2:$B$11)-ROW('DM_NgheNghiep'!$B$2)+1/ISNUMBER(SEARCH(SUBSTITUTE(UPPER($T187)," ",""),'DM_NgheNghiep'!$C$2:$C$11)),1)),"Không tìm thấy"))</f>
        <v/>
      </c>
      <c r="AD187" s="5">
        <f>IF($U187="","",IFERROR(INDEX('DM_NoiCongTac'!$B$2:$B$11,AGGREGATE(15,6,ROW('DM_NoiCongTac'!$B$2:$B$11)-ROW('DM_NoiCongTac'!$B$2)+1/ISNUMBER(SEARCH(SUBSTITUTE(UPPER($U187)," ",""),'DM_NoiCongTac'!$C$2:$C$11)),1)),"Không tìm thấy"))</f>
        <v/>
      </c>
      <c r="AF187" s="5">
        <f>IF($V187="","",IFERROR(INDEX('DM_XaPhuong'!$B$2:$B$169,AGGREGATE(15,6,ROW('DM_XaPhuong'!$B$2:$B$169)-ROW('DM_XaPhuong'!$B$2)+1/ISNUMBER(SEARCH(SUBSTITUTE(UPPER($V187)," ",""),'DM_XaPhuong'!$C$2:$C$169)),1)),"Không tìm thấy"))</f>
        <v/>
      </c>
    </row>
    <row r="188">
      <c r="C188" s="5">
        <f>IF($B188="","",IFERROR(INDEX('DM_DoiTuong'!$B$2:$B$19,AGGREGATE(15,6,ROW('DM_DoiTuong'!$B$2:$B$19)-ROW('DM_DoiTuong'!$B$2)+1/ISNUMBER(SEARCH(SUBSTITUTE(UPPER($B188)," ",""),'DM_DoiTuong'!$C$2:$C$19)),1)),"Không tìm thấy"))</f>
        <v/>
      </c>
      <c r="E188" s="5">
        <f>IF($C188="","",IFERROR(INDEX('DM_DiaDiemKham'!$B$2:$B$6,AGGREGATE(15,6,ROW('DM_DiaDiemKham'!$B$2:$B$6)-ROW('DM_DiaDiemKham'!$B$2)+1/ISNUMBER(SEARCH(SUBSTITUTE(UPPER($C188)," ",""),'DM_DiaDiemKham'!$C$2:$C$6)),1)),"Không tìm thấy"))</f>
        <v/>
      </c>
      <c r="G188" s="5">
        <f>IF($D188="","",IFERROR(INDEX('DM_HinhThucChiTra'!$B$2:$B$5,AGGREGATE(15,6,ROW('DM_HinhThucChiTra'!$B$2:$B$5)-ROW('DM_HinhThucChiTra'!$B$2)+1/ISNUMBER(SEARCH(SUBSTITUTE(UPPER($D188)," ",""),'DM_HinhThucChiTra'!$C$2:$C$5)),1)),"Không tìm thấy"))</f>
        <v/>
      </c>
      <c r="I188" s="5">
        <f>IF($E188="","",IFERROR(INDEX('DM_HinhThucKham'!$B$2:$B$3,AGGREGATE(15,6,ROW('DM_HinhThucKham'!$B$2:$B$3)-ROW('DM_HinhThucKham'!$B$2)+1/ISNUMBER(SEARCH(SUBSTITUTE(UPPER($E188)," ",""),'DM_HinhThucKham'!$C$2:$C$3)),1)),"Không tìm thấy"))</f>
        <v/>
      </c>
      <c r="P188" s="5">
        <f>IF($K188="","",IFERROR(INDEX('DM_DanToc'!$B$2:$B$78,AGGREGATE(15,6,ROW('DM_DanToc'!$B$2:$B$78)-ROW('DM_DanToc'!$B$2)+1/ISNUMBER(SEARCH(SUBSTITUTE(UPPER($K188)," ",""),'DM_DanToc'!$C$2:$C$78)),1)),"Không tìm thấy"))</f>
        <v/>
      </c>
      <c r="W188" s="5">
        <f>IF($Q188="","",IFERROR(INDEX('DM_TinhThanh'!$B$2:$B$35,AGGREGATE(15,6,ROW('DM_TinhThanh'!$B$2:$B$35)-ROW('DM_TinhThanh'!$B$2)+1/ISNUMBER(SEARCH(SUBSTITUTE(UPPER($Q188)," ",""),'DM_TinhThanh'!$C$2:$C$35)),1)),"Không tìm thấy"))</f>
        <v/>
      </c>
      <c r="Y188" s="5">
        <f>IF($R188="","",IFERROR(INDEX('DM_XaPhuong'!$B$2:$B$169,AGGREGATE(15,6,ROW('DM_XaPhuong'!$B$2:$B$169)-ROW('DM_XaPhuong'!$B$2)+1/ISNUMBER(SEARCH(SUBSTITUTE(UPPER($R188)," ",""),'DM_XaPhuong'!$C$2:$C$169)),1)),"Không tìm thấy"))</f>
        <v/>
      </c>
      <c r="AB188" s="5">
        <f>IF($T188="","",IFERROR(INDEX('DM_NgheNghiep'!$B$2:$B$11,AGGREGATE(15,6,ROW('DM_NgheNghiep'!$B$2:$B$11)-ROW('DM_NgheNghiep'!$B$2)+1/ISNUMBER(SEARCH(SUBSTITUTE(UPPER($T188)," ",""),'DM_NgheNghiep'!$C$2:$C$11)),1)),"Không tìm thấy"))</f>
        <v/>
      </c>
      <c r="AD188" s="5">
        <f>IF($U188="","",IFERROR(INDEX('DM_NoiCongTac'!$B$2:$B$11,AGGREGATE(15,6,ROW('DM_NoiCongTac'!$B$2:$B$11)-ROW('DM_NoiCongTac'!$B$2)+1/ISNUMBER(SEARCH(SUBSTITUTE(UPPER($U188)," ",""),'DM_NoiCongTac'!$C$2:$C$11)),1)),"Không tìm thấy"))</f>
        <v/>
      </c>
      <c r="AF188" s="5">
        <f>IF($V188="","",IFERROR(INDEX('DM_XaPhuong'!$B$2:$B$169,AGGREGATE(15,6,ROW('DM_XaPhuong'!$B$2:$B$169)-ROW('DM_XaPhuong'!$B$2)+1/ISNUMBER(SEARCH(SUBSTITUTE(UPPER($V188)," ",""),'DM_XaPhuong'!$C$2:$C$169)),1)),"Không tìm thấy"))</f>
        <v/>
      </c>
    </row>
    <row r="189">
      <c r="C189" s="5">
        <f>IF($B189="","",IFERROR(INDEX('DM_DoiTuong'!$B$2:$B$19,AGGREGATE(15,6,ROW('DM_DoiTuong'!$B$2:$B$19)-ROW('DM_DoiTuong'!$B$2)+1/ISNUMBER(SEARCH(SUBSTITUTE(UPPER($B189)," ",""),'DM_DoiTuong'!$C$2:$C$19)),1)),"Không tìm thấy"))</f>
        <v/>
      </c>
      <c r="E189" s="5">
        <f>IF($C189="","",IFERROR(INDEX('DM_DiaDiemKham'!$B$2:$B$6,AGGREGATE(15,6,ROW('DM_DiaDiemKham'!$B$2:$B$6)-ROW('DM_DiaDiemKham'!$B$2)+1/ISNUMBER(SEARCH(SUBSTITUTE(UPPER($C189)," ",""),'DM_DiaDiemKham'!$C$2:$C$6)),1)),"Không tìm thấy"))</f>
        <v/>
      </c>
      <c r="G189" s="5">
        <f>IF($D189="","",IFERROR(INDEX('DM_HinhThucChiTra'!$B$2:$B$5,AGGREGATE(15,6,ROW('DM_HinhThucChiTra'!$B$2:$B$5)-ROW('DM_HinhThucChiTra'!$B$2)+1/ISNUMBER(SEARCH(SUBSTITUTE(UPPER($D189)," ",""),'DM_HinhThucChiTra'!$C$2:$C$5)),1)),"Không tìm thấy"))</f>
        <v/>
      </c>
      <c r="I189" s="5">
        <f>IF($E189="","",IFERROR(INDEX('DM_HinhThucKham'!$B$2:$B$3,AGGREGATE(15,6,ROW('DM_HinhThucKham'!$B$2:$B$3)-ROW('DM_HinhThucKham'!$B$2)+1/ISNUMBER(SEARCH(SUBSTITUTE(UPPER($E189)," ",""),'DM_HinhThucKham'!$C$2:$C$3)),1)),"Không tìm thấy"))</f>
        <v/>
      </c>
      <c r="P189" s="5">
        <f>IF($K189="","",IFERROR(INDEX('DM_DanToc'!$B$2:$B$78,AGGREGATE(15,6,ROW('DM_DanToc'!$B$2:$B$78)-ROW('DM_DanToc'!$B$2)+1/ISNUMBER(SEARCH(SUBSTITUTE(UPPER($K189)," ",""),'DM_DanToc'!$C$2:$C$78)),1)),"Không tìm thấy"))</f>
        <v/>
      </c>
      <c r="W189" s="5">
        <f>IF($Q189="","",IFERROR(INDEX('DM_TinhThanh'!$B$2:$B$35,AGGREGATE(15,6,ROW('DM_TinhThanh'!$B$2:$B$35)-ROW('DM_TinhThanh'!$B$2)+1/ISNUMBER(SEARCH(SUBSTITUTE(UPPER($Q189)," ",""),'DM_TinhThanh'!$C$2:$C$35)),1)),"Không tìm thấy"))</f>
        <v/>
      </c>
      <c r="Y189" s="5">
        <f>IF($R189="","",IFERROR(INDEX('DM_XaPhuong'!$B$2:$B$169,AGGREGATE(15,6,ROW('DM_XaPhuong'!$B$2:$B$169)-ROW('DM_XaPhuong'!$B$2)+1/ISNUMBER(SEARCH(SUBSTITUTE(UPPER($R189)," ",""),'DM_XaPhuong'!$C$2:$C$169)),1)),"Không tìm thấy"))</f>
        <v/>
      </c>
      <c r="AB189" s="5">
        <f>IF($T189="","",IFERROR(INDEX('DM_NgheNghiep'!$B$2:$B$11,AGGREGATE(15,6,ROW('DM_NgheNghiep'!$B$2:$B$11)-ROW('DM_NgheNghiep'!$B$2)+1/ISNUMBER(SEARCH(SUBSTITUTE(UPPER($T189)," ",""),'DM_NgheNghiep'!$C$2:$C$11)),1)),"Không tìm thấy"))</f>
        <v/>
      </c>
      <c r="AD189" s="5">
        <f>IF($U189="","",IFERROR(INDEX('DM_NoiCongTac'!$B$2:$B$11,AGGREGATE(15,6,ROW('DM_NoiCongTac'!$B$2:$B$11)-ROW('DM_NoiCongTac'!$B$2)+1/ISNUMBER(SEARCH(SUBSTITUTE(UPPER($U189)," ",""),'DM_NoiCongTac'!$C$2:$C$11)),1)),"Không tìm thấy"))</f>
        <v/>
      </c>
      <c r="AF189" s="5">
        <f>IF($V189="","",IFERROR(INDEX('DM_XaPhuong'!$B$2:$B$169,AGGREGATE(15,6,ROW('DM_XaPhuong'!$B$2:$B$169)-ROW('DM_XaPhuong'!$B$2)+1/ISNUMBER(SEARCH(SUBSTITUTE(UPPER($V189)," ",""),'DM_XaPhuong'!$C$2:$C$169)),1)),"Không tìm thấy"))</f>
        <v/>
      </c>
    </row>
    <row r="190">
      <c r="C190" s="5">
        <f>IF($B190="","",IFERROR(INDEX('DM_DoiTuong'!$B$2:$B$19,AGGREGATE(15,6,ROW('DM_DoiTuong'!$B$2:$B$19)-ROW('DM_DoiTuong'!$B$2)+1/ISNUMBER(SEARCH(SUBSTITUTE(UPPER($B190)," ",""),'DM_DoiTuong'!$C$2:$C$19)),1)),"Không tìm thấy"))</f>
        <v/>
      </c>
      <c r="E190" s="5">
        <f>IF($C190="","",IFERROR(INDEX('DM_DiaDiemKham'!$B$2:$B$6,AGGREGATE(15,6,ROW('DM_DiaDiemKham'!$B$2:$B$6)-ROW('DM_DiaDiemKham'!$B$2)+1/ISNUMBER(SEARCH(SUBSTITUTE(UPPER($C190)," ",""),'DM_DiaDiemKham'!$C$2:$C$6)),1)),"Không tìm thấy"))</f>
        <v/>
      </c>
      <c r="G190" s="5">
        <f>IF($D190="","",IFERROR(INDEX('DM_HinhThucChiTra'!$B$2:$B$5,AGGREGATE(15,6,ROW('DM_HinhThucChiTra'!$B$2:$B$5)-ROW('DM_HinhThucChiTra'!$B$2)+1/ISNUMBER(SEARCH(SUBSTITUTE(UPPER($D190)," ",""),'DM_HinhThucChiTra'!$C$2:$C$5)),1)),"Không tìm thấy"))</f>
        <v/>
      </c>
      <c r="I190" s="5">
        <f>IF($E190="","",IFERROR(INDEX('DM_HinhThucKham'!$B$2:$B$3,AGGREGATE(15,6,ROW('DM_HinhThucKham'!$B$2:$B$3)-ROW('DM_HinhThucKham'!$B$2)+1/ISNUMBER(SEARCH(SUBSTITUTE(UPPER($E190)," ",""),'DM_HinhThucKham'!$C$2:$C$3)),1)),"Không tìm thấy"))</f>
        <v/>
      </c>
      <c r="P190" s="5">
        <f>IF($K190="","",IFERROR(INDEX('DM_DanToc'!$B$2:$B$78,AGGREGATE(15,6,ROW('DM_DanToc'!$B$2:$B$78)-ROW('DM_DanToc'!$B$2)+1/ISNUMBER(SEARCH(SUBSTITUTE(UPPER($K190)," ",""),'DM_DanToc'!$C$2:$C$78)),1)),"Không tìm thấy"))</f>
        <v/>
      </c>
      <c r="W190" s="5">
        <f>IF($Q190="","",IFERROR(INDEX('DM_TinhThanh'!$B$2:$B$35,AGGREGATE(15,6,ROW('DM_TinhThanh'!$B$2:$B$35)-ROW('DM_TinhThanh'!$B$2)+1/ISNUMBER(SEARCH(SUBSTITUTE(UPPER($Q190)," ",""),'DM_TinhThanh'!$C$2:$C$35)),1)),"Không tìm thấy"))</f>
        <v/>
      </c>
      <c r="Y190" s="5">
        <f>IF($R190="","",IFERROR(INDEX('DM_XaPhuong'!$B$2:$B$169,AGGREGATE(15,6,ROW('DM_XaPhuong'!$B$2:$B$169)-ROW('DM_XaPhuong'!$B$2)+1/ISNUMBER(SEARCH(SUBSTITUTE(UPPER($R190)," ",""),'DM_XaPhuong'!$C$2:$C$169)),1)),"Không tìm thấy"))</f>
        <v/>
      </c>
      <c r="AB190" s="5">
        <f>IF($T190="","",IFERROR(INDEX('DM_NgheNghiep'!$B$2:$B$11,AGGREGATE(15,6,ROW('DM_NgheNghiep'!$B$2:$B$11)-ROW('DM_NgheNghiep'!$B$2)+1/ISNUMBER(SEARCH(SUBSTITUTE(UPPER($T190)," ",""),'DM_NgheNghiep'!$C$2:$C$11)),1)),"Không tìm thấy"))</f>
        <v/>
      </c>
      <c r="AD190" s="5">
        <f>IF($U190="","",IFERROR(INDEX('DM_NoiCongTac'!$B$2:$B$11,AGGREGATE(15,6,ROW('DM_NoiCongTac'!$B$2:$B$11)-ROW('DM_NoiCongTac'!$B$2)+1/ISNUMBER(SEARCH(SUBSTITUTE(UPPER($U190)," ",""),'DM_NoiCongTac'!$C$2:$C$11)),1)),"Không tìm thấy"))</f>
        <v/>
      </c>
      <c r="AF190" s="5">
        <f>IF($V190="","",IFERROR(INDEX('DM_XaPhuong'!$B$2:$B$169,AGGREGATE(15,6,ROW('DM_XaPhuong'!$B$2:$B$169)-ROW('DM_XaPhuong'!$B$2)+1/ISNUMBER(SEARCH(SUBSTITUTE(UPPER($V190)," ",""),'DM_XaPhuong'!$C$2:$C$169)),1)),"Không tìm thấy"))</f>
        <v/>
      </c>
    </row>
    <row r="191">
      <c r="C191" s="5">
        <f>IF($B191="","",IFERROR(INDEX('DM_DoiTuong'!$B$2:$B$19,AGGREGATE(15,6,ROW('DM_DoiTuong'!$B$2:$B$19)-ROW('DM_DoiTuong'!$B$2)+1/ISNUMBER(SEARCH(SUBSTITUTE(UPPER($B191)," ",""),'DM_DoiTuong'!$C$2:$C$19)),1)),"Không tìm thấy"))</f>
        <v/>
      </c>
      <c r="E191" s="5">
        <f>IF($C191="","",IFERROR(INDEX('DM_DiaDiemKham'!$B$2:$B$6,AGGREGATE(15,6,ROW('DM_DiaDiemKham'!$B$2:$B$6)-ROW('DM_DiaDiemKham'!$B$2)+1/ISNUMBER(SEARCH(SUBSTITUTE(UPPER($C191)," ",""),'DM_DiaDiemKham'!$C$2:$C$6)),1)),"Không tìm thấy"))</f>
        <v/>
      </c>
      <c r="G191" s="5">
        <f>IF($D191="","",IFERROR(INDEX('DM_HinhThucChiTra'!$B$2:$B$5,AGGREGATE(15,6,ROW('DM_HinhThucChiTra'!$B$2:$B$5)-ROW('DM_HinhThucChiTra'!$B$2)+1/ISNUMBER(SEARCH(SUBSTITUTE(UPPER($D191)," ",""),'DM_HinhThucChiTra'!$C$2:$C$5)),1)),"Không tìm thấy"))</f>
        <v/>
      </c>
      <c r="I191" s="5">
        <f>IF($E191="","",IFERROR(INDEX('DM_HinhThucKham'!$B$2:$B$3,AGGREGATE(15,6,ROW('DM_HinhThucKham'!$B$2:$B$3)-ROW('DM_HinhThucKham'!$B$2)+1/ISNUMBER(SEARCH(SUBSTITUTE(UPPER($E191)," ",""),'DM_HinhThucKham'!$C$2:$C$3)),1)),"Không tìm thấy"))</f>
        <v/>
      </c>
      <c r="P191" s="5">
        <f>IF($K191="","",IFERROR(INDEX('DM_DanToc'!$B$2:$B$78,AGGREGATE(15,6,ROW('DM_DanToc'!$B$2:$B$78)-ROW('DM_DanToc'!$B$2)+1/ISNUMBER(SEARCH(SUBSTITUTE(UPPER($K191)," ",""),'DM_DanToc'!$C$2:$C$78)),1)),"Không tìm thấy"))</f>
        <v/>
      </c>
      <c r="W191" s="5">
        <f>IF($Q191="","",IFERROR(INDEX('DM_TinhThanh'!$B$2:$B$35,AGGREGATE(15,6,ROW('DM_TinhThanh'!$B$2:$B$35)-ROW('DM_TinhThanh'!$B$2)+1/ISNUMBER(SEARCH(SUBSTITUTE(UPPER($Q191)," ",""),'DM_TinhThanh'!$C$2:$C$35)),1)),"Không tìm thấy"))</f>
        <v/>
      </c>
      <c r="Y191" s="5">
        <f>IF($R191="","",IFERROR(INDEX('DM_XaPhuong'!$B$2:$B$169,AGGREGATE(15,6,ROW('DM_XaPhuong'!$B$2:$B$169)-ROW('DM_XaPhuong'!$B$2)+1/ISNUMBER(SEARCH(SUBSTITUTE(UPPER($R191)," ",""),'DM_XaPhuong'!$C$2:$C$169)),1)),"Không tìm thấy"))</f>
        <v/>
      </c>
      <c r="AB191" s="5">
        <f>IF($T191="","",IFERROR(INDEX('DM_NgheNghiep'!$B$2:$B$11,AGGREGATE(15,6,ROW('DM_NgheNghiep'!$B$2:$B$11)-ROW('DM_NgheNghiep'!$B$2)+1/ISNUMBER(SEARCH(SUBSTITUTE(UPPER($T191)," ",""),'DM_NgheNghiep'!$C$2:$C$11)),1)),"Không tìm thấy"))</f>
        <v/>
      </c>
      <c r="AD191" s="5">
        <f>IF($U191="","",IFERROR(INDEX('DM_NoiCongTac'!$B$2:$B$11,AGGREGATE(15,6,ROW('DM_NoiCongTac'!$B$2:$B$11)-ROW('DM_NoiCongTac'!$B$2)+1/ISNUMBER(SEARCH(SUBSTITUTE(UPPER($U191)," ",""),'DM_NoiCongTac'!$C$2:$C$11)),1)),"Không tìm thấy"))</f>
        <v/>
      </c>
      <c r="AF191" s="5">
        <f>IF($V191="","",IFERROR(INDEX('DM_XaPhuong'!$B$2:$B$169,AGGREGATE(15,6,ROW('DM_XaPhuong'!$B$2:$B$169)-ROW('DM_XaPhuong'!$B$2)+1/ISNUMBER(SEARCH(SUBSTITUTE(UPPER($V191)," ",""),'DM_XaPhuong'!$C$2:$C$169)),1)),"Không tìm thấy"))</f>
        <v/>
      </c>
    </row>
    <row r="192">
      <c r="C192" s="5">
        <f>IF($B192="","",IFERROR(INDEX('DM_DoiTuong'!$B$2:$B$19,AGGREGATE(15,6,ROW('DM_DoiTuong'!$B$2:$B$19)-ROW('DM_DoiTuong'!$B$2)+1/ISNUMBER(SEARCH(SUBSTITUTE(UPPER($B192)," ",""),'DM_DoiTuong'!$C$2:$C$19)),1)),"Không tìm thấy"))</f>
        <v/>
      </c>
      <c r="E192" s="5">
        <f>IF($C192="","",IFERROR(INDEX('DM_DiaDiemKham'!$B$2:$B$6,AGGREGATE(15,6,ROW('DM_DiaDiemKham'!$B$2:$B$6)-ROW('DM_DiaDiemKham'!$B$2)+1/ISNUMBER(SEARCH(SUBSTITUTE(UPPER($C192)," ",""),'DM_DiaDiemKham'!$C$2:$C$6)),1)),"Không tìm thấy"))</f>
        <v/>
      </c>
      <c r="G192" s="5">
        <f>IF($D192="","",IFERROR(INDEX('DM_HinhThucChiTra'!$B$2:$B$5,AGGREGATE(15,6,ROW('DM_HinhThucChiTra'!$B$2:$B$5)-ROW('DM_HinhThucChiTra'!$B$2)+1/ISNUMBER(SEARCH(SUBSTITUTE(UPPER($D192)," ",""),'DM_HinhThucChiTra'!$C$2:$C$5)),1)),"Không tìm thấy"))</f>
        <v/>
      </c>
      <c r="I192" s="5">
        <f>IF($E192="","",IFERROR(INDEX('DM_HinhThucKham'!$B$2:$B$3,AGGREGATE(15,6,ROW('DM_HinhThucKham'!$B$2:$B$3)-ROW('DM_HinhThucKham'!$B$2)+1/ISNUMBER(SEARCH(SUBSTITUTE(UPPER($E192)," ",""),'DM_HinhThucKham'!$C$2:$C$3)),1)),"Không tìm thấy"))</f>
        <v/>
      </c>
      <c r="P192" s="5">
        <f>IF($K192="","",IFERROR(INDEX('DM_DanToc'!$B$2:$B$78,AGGREGATE(15,6,ROW('DM_DanToc'!$B$2:$B$78)-ROW('DM_DanToc'!$B$2)+1/ISNUMBER(SEARCH(SUBSTITUTE(UPPER($K192)," ",""),'DM_DanToc'!$C$2:$C$78)),1)),"Không tìm thấy"))</f>
        <v/>
      </c>
      <c r="W192" s="5">
        <f>IF($Q192="","",IFERROR(INDEX('DM_TinhThanh'!$B$2:$B$35,AGGREGATE(15,6,ROW('DM_TinhThanh'!$B$2:$B$35)-ROW('DM_TinhThanh'!$B$2)+1/ISNUMBER(SEARCH(SUBSTITUTE(UPPER($Q192)," ",""),'DM_TinhThanh'!$C$2:$C$35)),1)),"Không tìm thấy"))</f>
        <v/>
      </c>
      <c r="Y192" s="5">
        <f>IF($R192="","",IFERROR(INDEX('DM_XaPhuong'!$B$2:$B$169,AGGREGATE(15,6,ROW('DM_XaPhuong'!$B$2:$B$169)-ROW('DM_XaPhuong'!$B$2)+1/ISNUMBER(SEARCH(SUBSTITUTE(UPPER($R192)," ",""),'DM_XaPhuong'!$C$2:$C$169)),1)),"Không tìm thấy"))</f>
        <v/>
      </c>
      <c r="AB192" s="5">
        <f>IF($T192="","",IFERROR(INDEX('DM_NgheNghiep'!$B$2:$B$11,AGGREGATE(15,6,ROW('DM_NgheNghiep'!$B$2:$B$11)-ROW('DM_NgheNghiep'!$B$2)+1/ISNUMBER(SEARCH(SUBSTITUTE(UPPER($T192)," ",""),'DM_NgheNghiep'!$C$2:$C$11)),1)),"Không tìm thấy"))</f>
        <v/>
      </c>
      <c r="AD192" s="5">
        <f>IF($U192="","",IFERROR(INDEX('DM_NoiCongTac'!$B$2:$B$11,AGGREGATE(15,6,ROW('DM_NoiCongTac'!$B$2:$B$11)-ROW('DM_NoiCongTac'!$B$2)+1/ISNUMBER(SEARCH(SUBSTITUTE(UPPER($U192)," ",""),'DM_NoiCongTac'!$C$2:$C$11)),1)),"Không tìm thấy"))</f>
        <v/>
      </c>
      <c r="AF192" s="5">
        <f>IF($V192="","",IFERROR(INDEX('DM_XaPhuong'!$B$2:$B$169,AGGREGATE(15,6,ROW('DM_XaPhuong'!$B$2:$B$169)-ROW('DM_XaPhuong'!$B$2)+1/ISNUMBER(SEARCH(SUBSTITUTE(UPPER($V192)," ",""),'DM_XaPhuong'!$C$2:$C$169)),1)),"Không tìm thấy"))</f>
        <v/>
      </c>
    </row>
    <row r="193">
      <c r="C193" s="5">
        <f>IF($B193="","",IFERROR(INDEX('DM_DoiTuong'!$B$2:$B$19,AGGREGATE(15,6,ROW('DM_DoiTuong'!$B$2:$B$19)-ROW('DM_DoiTuong'!$B$2)+1/ISNUMBER(SEARCH(SUBSTITUTE(UPPER($B193)," ",""),'DM_DoiTuong'!$C$2:$C$19)),1)),"Không tìm thấy"))</f>
        <v/>
      </c>
      <c r="E193" s="5">
        <f>IF($C193="","",IFERROR(INDEX('DM_DiaDiemKham'!$B$2:$B$6,AGGREGATE(15,6,ROW('DM_DiaDiemKham'!$B$2:$B$6)-ROW('DM_DiaDiemKham'!$B$2)+1/ISNUMBER(SEARCH(SUBSTITUTE(UPPER($C193)," ",""),'DM_DiaDiemKham'!$C$2:$C$6)),1)),"Không tìm thấy"))</f>
        <v/>
      </c>
      <c r="G193" s="5">
        <f>IF($D193="","",IFERROR(INDEX('DM_HinhThucChiTra'!$B$2:$B$5,AGGREGATE(15,6,ROW('DM_HinhThucChiTra'!$B$2:$B$5)-ROW('DM_HinhThucChiTra'!$B$2)+1/ISNUMBER(SEARCH(SUBSTITUTE(UPPER($D193)," ",""),'DM_HinhThucChiTra'!$C$2:$C$5)),1)),"Không tìm thấy"))</f>
        <v/>
      </c>
      <c r="I193" s="5">
        <f>IF($E193="","",IFERROR(INDEX('DM_HinhThucKham'!$B$2:$B$3,AGGREGATE(15,6,ROW('DM_HinhThucKham'!$B$2:$B$3)-ROW('DM_HinhThucKham'!$B$2)+1/ISNUMBER(SEARCH(SUBSTITUTE(UPPER($E193)," ",""),'DM_HinhThucKham'!$C$2:$C$3)),1)),"Không tìm thấy"))</f>
        <v/>
      </c>
      <c r="P193" s="5">
        <f>IF($K193="","",IFERROR(INDEX('DM_DanToc'!$B$2:$B$78,AGGREGATE(15,6,ROW('DM_DanToc'!$B$2:$B$78)-ROW('DM_DanToc'!$B$2)+1/ISNUMBER(SEARCH(SUBSTITUTE(UPPER($K193)," ",""),'DM_DanToc'!$C$2:$C$78)),1)),"Không tìm thấy"))</f>
        <v/>
      </c>
      <c r="W193" s="5">
        <f>IF($Q193="","",IFERROR(INDEX('DM_TinhThanh'!$B$2:$B$35,AGGREGATE(15,6,ROW('DM_TinhThanh'!$B$2:$B$35)-ROW('DM_TinhThanh'!$B$2)+1/ISNUMBER(SEARCH(SUBSTITUTE(UPPER($Q193)," ",""),'DM_TinhThanh'!$C$2:$C$35)),1)),"Không tìm thấy"))</f>
        <v/>
      </c>
      <c r="Y193" s="5">
        <f>IF($R193="","",IFERROR(INDEX('DM_XaPhuong'!$B$2:$B$169,AGGREGATE(15,6,ROW('DM_XaPhuong'!$B$2:$B$169)-ROW('DM_XaPhuong'!$B$2)+1/ISNUMBER(SEARCH(SUBSTITUTE(UPPER($R193)," ",""),'DM_XaPhuong'!$C$2:$C$169)),1)),"Không tìm thấy"))</f>
        <v/>
      </c>
      <c r="AB193" s="5">
        <f>IF($T193="","",IFERROR(INDEX('DM_NgheNghiep'!$B$2:$B$11,AGGREGATE(15,6,ROW('DM_NgheNghiep'!$B$2:$B$11)-ROW('DM_NgheNghiep'!$B$2)+1/ISNUMBER(SEARCH(SUBSTITUTE(UPPER($T193)," ",""),'DM_NgheNghiep'!$C$2:$C$11)),1)),"Không tìm thấy"))</f>
        <v/>
      </c>
      <c r="AD193" s="5">
        <f>IF($U193="","",IFERROR(INDEX('DM_NoiCongTac'!$B$2:$B$11,AGGREGATE(15,6,ROW('DM_NoiCongTac'!$B$2:$B$11)-ROW('DM_NoiCongTac'!$B$2)+1/ISNUMBER(SEARCH(SUBSTITUTE(UPPER($U193)," ",""),'DM_NoiCongTac'!$C$2:$C$11)),1)),"Không tìm thấy"))</f>
        <v/>
      </c>
      <c r="AF193" s="5">
        <f>IF($V193="","",IFERROR(INDEX('DM_XaPhuong'!$B$2:$B$169,AGGREGATE(15,6,ROW('DM_XaPhuong'!$B$2:$B$169)-ROW('DM_XaPhuong'!$B$2)+1/ISNUMBER(SEARCH(SUBSTITUTE(UPPER($V193)," ",""),'DM_XaPhuong'!$C$2:$C$169)),1)),"Không tìm thấy"))</f>
        <v/>
      </c>
    </row>
    <row r="194">
      <c r="C194" s="5">
        <f>IF($B194="","",IFERROR(INDEX('DM_DoiTuong'!$B$2:$B$19,AGGREGATE(15,6,ROW('DM_DoiTuong'!$B$2:$B$19)-ROW('DM_DoiTuong'!$B$2)+1/ISNUMBER(SEARCH(SUBSTITUTE(UPPER($B194)," ",""),'DM_DoiTuong'!$C$2:$C$19)),1)),"Không tìm thấy"))</f>
        <v/>
      </c>
      <c r="E194" s="5">
        <f>IF($C194="","",IFERROR(INDEX('DM_DiaDiemKham'!$B$2:$B$6,AGGREGATE(15,6,ROW('DM_DiaDiemKham'!$B$2:$B$6)-ROW('DM_DiaDiemKham'!$B$2)+1/ISNUMBER(SEARCH(SUBSTITUTE(UPPER($C194)," ",""),'DM_DiaDiemKham'!$C$2:$C$6)),1)),"Không tìm thấy"))</f>
        <v/>
      </c>
      <c r="G194" s="5">
        <f>IF($D194="","",IFERROR(INDEX('DM_HinhThucChiTra'!$B$2:$B$5,AGGREGATE(15,6,ROW('DM_HinhThucChiTra'!$B$2:$B$5)-ROW('DM_HinhThucChiTra'!$B$2)+1/ISNUMBER(SEARCH(SUBSTITUTE(UPPER($D194)," ",""),'DM_HinhThucChiTra'!$C$2:$C$5)),1)),"Không tìm thấy"))</f>
        <v/>
      </c>
      <c r="I194" s="5">
        <f>IF($E194="","",IFERROR(INDEX('DM_HinhThucKham'!$B$2:$B$3,AGGREGATE(15,6,ROW('DM_HinhThucKham'!$B$2:$B$3)-ROW('DM_HinhThucKham'!$B$2)+1/ISNUMBER(SEARCH(SUBSTITUTE(UPPER($E194)," ",""),'DM_HinhThucKham'!$C$2:$C$3)),1)),"Không tìm thấy"))</f>
        <v/>
      </c>
      <c r="P194" s="5">
        <f>IF($K194="","",IFERROR(INDEX('DM_DanToc'!$B$2:$B$78,AGGREGATE(15,6,ROW('DM_DanToc'!$B$2:$B$78)-ROW('DM_DanToc'!$B$2)+1/ISNUMBER(SEARCH(SUBSTITUTE(UPPER($K194)," ",""),'DM_DanToc'!$C$2:$C$78)),1)),"Không tìm thấy"))</f>
        <v/>
      </c>
      <c r="W194" s="5">
        <f>IF($Q194="","",IFERROR(INDEX('DM_TinhThanh'!$B$2:$B$35,AGGREGATE(15,6,ROW('DM_TinhThanh'!$B$2:$B$35)-ROW('DM_TinhThanh'!$B$2)+1/ISNUMBER(SEARCH(SUBSTITUTE(UPPER($Q194)," ",""),'DM_TinhThanh'!$C$2:$C$35)),1)),"Không tìm thấy"))</f>
        <v/>
      </c>
      <c r="Y194" s="5">
        <f>IF($R194="","",IFERROR(INDEX('DM_XaPhuong'!$B$2:$B$169,AGGREGATE(15,6,ROW('DM_XaPhuong'!$B$2:$B$169)-ROW('DM_XaPhuong'!$B$2)+1/ISNUMBER(SEARCH(SUBSTITUTE(UPPER($R194)," ",""),'DM_XaPhuong'!$C$2:$C$169)),1)),"Không tìm thấy"))</f>
        <v/>
      </c>
      <c r="AB194" s="5">
        <f>IF($T194="","",IFERROR(INDEX('DM_NgheNghiep'!$B$2:$B$11,AGGREGATE(15,6,ROW('DM_NgheNghiep'!$B$2:$B$11)-ROW('DM_NgheNghiep'!$B$2)+1/ISNUMBER(SEARCH(SUBSTITUTE(UPPER($T194)," ",""),'DM_NgheNghiep'!$C$2:$C$11)),1)),"Không tìm thấy"))</f>
        <v/>
      </c>
      <c r="AD194" s="5">
        <f>IF($U194="","",IFERROR(INDEX('DM_NoiCongTac'!$B$2:$B$11,AGGREGATE(15,6,ROW('DM_NoiCongTac'!$B$2:$B$11)-ROW('DM_NoiCongTac'!$B$2)+1/ISNUMBER(SEARCH(SUBSTITUTE(UPPER($U194)," ",""),'DM_NoiCongTac'!$C$2:$C$11)),1)),"Không tìm thấy"))</f>
        <v/>
      </c>
      <c r="AF194" s="5">
        <f>IF($V194="","",IFERROR(INDEX('DM_XaPhuong'!$B$2:$B$169,AGGREGATE(15,6,ROW('DM_XaPhuong'!$B$2:$B$169)-ROW('DM_XaPhuong'!$B$2)+1/ISNUMBER(SEARCH(SUBSTITUTE(UPPER($V194)," ",""),'DM_XaPhuong'!$C$2:$C$169)),1)),"Không tìm thấy"))</f>
        <v/>
      </c>
    </row>
    <row r="195">
      <c r="C195" s="5">
        <f>IF($B195="","",IFERROR(INDEX('DM_DoiTuong'!$B$2:$B$19,AGGREGATE(15,6,ROW('DM_DoiTuong'!$B$2:$B$19)-ROW('DM_DoiTuong'!$B$2)+1/ISNUMBER(SEARCH(SUBSTITUTE(UPPER($B195)," ",""),'DM_DoiTuong'!$C$2:$C$19)),1)),"Không tìm thấy"))</f>
        <v/>
      </c>
      <c r="E195" s="5">
        <f>IF($C195="","",IFERROR(INDEX('DM_DiaDiemKham'!$B$2:$B$6,AGGREGATE(15,6,ROW('DM_DiaDiemKham'!$B$2:$B$6)-ROW('DM_DiaDiemKham'!$B$2)+1/ISNUMBER(SEARCH(SUBSTITUTE(UPPER($C195)," ",""),'DM_DiaDiemKham'!$C$2:$C$6)),1)),"Không tìm thấy"))</f>
        <v/>
      </c>
      <c r="G195" s="5">
        <f>IF($D195="","",IFERROR(INDEX('DM_HinhThucChiTra'!$B$2:$B$5,AGGREGATE(15,6,ROW('DM_HinhThucChiTra'!$B$2:$B$5)-ROW('DM_HinhThucChiTra'!$B$2)+1/ISNUMBER(SEARCH(SUBSTITUTE(UPPER($D195)," ",""),'DM_HinhThucChiTra'!$C$2:$C$5)),1)),"Không tìm thấy"))</f>
        <v/>
      </c>
      <c r="I195" s="5">
        <f>IF($E195="","",IFERROR(INDEX('DM_HinhThucKham'!$B$2:$B$3,AGGREGATE(15,6,ROW('DM_HinhThucKham'!$B$2:$B$3)-ROW('DM_HinhThucKham'!$B$2)+1/ISNUMBER(SEARCH(SUBSTITUTE(UPPER($E195)," ",""),'DM_HinhThucKham'!$C$2:$C$3)),1)),"Không tìm thấy"))</f>
        <v/>
      </c>
      <c r="P195" s="5">
        <f>IF($K195="","",IFERROR(INDEX('DM_DanToc'!$B$2:$B$78,AGGREGATE(15,6,ROW('DM_DanToc'!$B$2:$B$78)-ROW('DM_DanToc'!$B$2)+1/ISNUMBER(SEARCH(SUBSTITUTE(UPPER($K195)," ",""),'DM_DanToc'!$C$2:$C$78)),1)),"Không tìm thấy"))</f>
        <v/>
      </c>
      <c r="W195" s="5">
        <f>IF($Q195="","",IFERROR(INDEX('DM_TinhThanh'!$B$2:$B$35,AGGREGATE(15,6,ROW('DM_TinhThanh'!$B$2:$B$35)-ROW('DM_TinhThanh'!$B$2)+1/ISNUMBER(SEARCH(SUBSTITUTE(UPPER($Q195)," ",""),'DM_TinhThanh'!$C$2:$C$35)),1)),"Không tìm thấy"))</f>
        <v/>
      </c>
      <c r="Y195" s="5">
        <f>IF($R195="","",IFERROR(INDEX('DM_XaPhuong'!$B$2:$B$169,AGGREGATE(15,6,ROW('DM_XaPhuong'!$B$2:$B$169)-ROW('DM_XaPhuong'!$B$2)+1/ISNUMBER(SEARCH(SUBSTITUTE(UPPER($R195)," ",""),'DM_XaPhuong'!$C$2:$C$169)),1)),"Không tìm thấy"))</f>
        <v/>
      </c>
      <c r="AB195" s="5">
        <f>IF($T195="","",IFERROR(INDEX('DM_NgheNghiep'!$B$2:$B$11,AGGREGATE(15,6,ROW('DM_NgheNghiep'!$B$2:$B$11)-ROW('DM_NgheNghiep'!$B$2)+1/ISNUMBER(SEARCH(SUBSTITUTE(UPPER($T195)," ",""),'DM_NgheNghiep'!$C$2:$C$11)),1)),"Không tìm thấy"))</f>
        <v/>
      </c>
      <c r="AD195" s="5">
        <f>IF($U195="","",IFERROR(INDEX('DM_NoiCongTac'!$B$2:$B$11,AGGREGATE(15,6,ROW('DM_NoiCongTac'!$B$2:$B$11)-ROW('DM_NoiCongTac'!$B$2)+1/ISNUMBER(SEARCH(SUBSTITUTE(UPPER($U195)," ",""),'DM_NoiCongTac'!$C$2:$C$11)),1)),"Không tìm thấy"))</f>
        <v/>
      </c>
      <c r="AF195" s="5">
        <f>IF($V195="","",IFERROR(INDEX('DM_XaPhuong'!$B$2:$B$169,AGGREGATE(15,6,ROW('DM_XaPhuong'!$B$2:$B$169)-ROW('DM_XaPhuong'!$B$2)+1/ISNUMBER(SEARCH(SUBSTITUTE(UPPER($V195)," ",""),'DM_XaPhuong'!$C$2:$C$169)),1)),"Không tìm thấy"))</f>
        <v/>
      </c>
    </row>
    <row r="196">
      <c r="C196" s="5">
        <f>IF($B196="","",IFERROR(INDEX('DM_DoiTuong'!$B$2:$B$19,AGGREGATE(15,6,ROW('DM_DoiTuong'!$B$2:$B$19)-ROW('DM_DoiTuong'!$B$2)+1/ISNUMBER(SEARCH(SUBSTITUTE(UPPER($B196)," ",""),'DM_DoiTuong'!$C$2:$C$19)),1)),"Không tìm thấy"))</f>
        <v/>
      </c>
      <c r="E196" s="5">
        <f>IF($C196="","",IFERROR(INDEX('DM_DiaDiemKham'!$B$2:$B$6,AGGREGATE(15,6,ROW('DM_DiaDiemKham'!$B$2:$B$6)-ROW('DM_DiaDiemKham'!$B$2)+1/ISNUMBER(SEARCH(SUBSTITUTE(UPPER($C196)," ",""),'DM_DiaDiemKham'!$C$2:$C$6)),1)),"Không tìm thấy"))</f>
        <v/>
      </c>
      <c r="G196" s="5">
        <f>IF($D196="","",IFERROR(INDEX('DM_HinhThucChiTra'!$B$2:$B$5,AGGREGATE(15,6,ROW('DM_HinhThucChiTra'!$B$2:$B$5)-ROW('DM_HinhThucChiTra'!$B$2)+1/ISNUMBER(SEARCH(SUBSTITUTE(UPPER($D196)," ",""),'DM_HinhThucChiTra'!$C$2:$C$5)),1)),"Không tìm thấy"))</f>
        <v/>
      </c>
      <c r="I196" s="5">
        <f>IF($E196="","",IFERROR(INDEX('DM_HinhThucKham'!$B$2:$B$3,AGGREGATE(15,6,ROW('DM_HinhThucKham'!$B$2:$B$3)-ROW('DM_HinhThucKham'!$B$2)+1/ISNUMBER(SEARCH(SUBSTITUTE(UPPER($E196)," ",""),'DM_HinhThucKham'!$C$2:$C$3)),1)),"Không tìm thấy"))</f>
        <v/>
      </c>
      <c r="P196" s="5">
        <f>IF($K196="","",IFERROR(INDEX('DM_DanToc'!$B$2:$B$78,AGGREGATE(15,6,ROW('DM_DanToc'!$B$2:$B$78)-ROW('DM_DanToc'!$B$2)+1/ISNUMBER(SEARCH(SUBSTITUTE(UPPER($K196)," ",""),'DM_DanToc'!$C$2:$C$78)),1)),"Không tìm thấy"))</f>
        <v/>
      </c>
      <c r="W196" s="5">
        <f>IF($Q196="","",IFERROR(INDEX('DM_TinhThanh'!$B$2:$B$35,AGGREGATE(15,6,ROW('DM_TinhThanh'!$B$2:$B$35)-ROW('DM_TinhThanh'!$B$2)+1/ISNUMBER(SEARCH(SUBSTITUTE(UPPER($Q196)," ",""),'DM_TinhThanh'!$C$2:$C$35)),1)),"Không tìm thấy"))</f>
        <v/>
      </c>
      <c r="Y196" s="5">
        <f>IF($R196="","",IFERROR(INDEX('DM_XaPhuong'!$B$2:$B$169,AGGREGATE(15,6,ROW('DM_XaPhuong'!$B$2:$B$169)-ROW('DM_XaPhuong'!$B$2)+1/ISNUMBER(SEARCH(SUBSTITUTE(UPPER($R196)," ",""),'DM_XaPhuong'!$C$2:$C$169)),1)),"Không tìm thấy"))</f>
        <v/>
      </c>
      <c r="AB196" s="5">
        <f>IF($T196="","",IFERROR(INDEX('DM_NgheNghiep'!$B$2:$B$11,AGGREGATE(15,6,ROW('DM_NgheNghiep'!$B$2:$B$11)-ROW('DM_NgheNghiep'!$B$2)+1/ISNUMBER(SEARCH(SUBSTITUTE(UPPER($T196)," ",""),'DM_NgheNghiep'!$C$2:$C$11)),1)),"Không tìm thấy"))</f>
        <v/>
      </c>
      <c r="AD196" s="5">
        <f>IF($U196="","",IFERROR(INDEX('DM_NoiCongTac'!$B$2:$B$11,AGGREGATE(15,6,ROW('DM_NoiCongTac'!$B$2:$B$11)-ROW('DM_NoiCongTac'!$B$2)+1/ISNUMBER(SEARCH(SUBSTITUTE(UPPER($U196)," ",""),'DM_NoiCongTac'!$C$2:$C$11)),1)),"Không tìm thấy"))</f>
        <v/>
      </c>
      <c r="AF196" s="5">
        <f>IF($V196="","",IFERROR(INDEX('DM_XaPhuong'!$B$2:$B$169,AGGREGATE(15,6,ROW('DM_XaPhuong'!$B$2:$B$169)-ROW('DM_XaPhuong'!$B$2)+1/ISNUMBER(SEARCH(SUBSTITUTE(UPPER($V196)," ",""),'DM_XaPhuong'!$C$2:$C$169)),1)),"Không tìm thấy"))</f>
        <v/>
      </c>
    </row>
    <row r="197">
      <c r="C197" s="5">
        <f>IF($B197="","",IFERROR(INDEX('DM_DoiTuong'!$B$2:$B$19,AGGREGATE(15,6,ROW('DM_DoiTuong'!$B$2:$B$19)-ROW('DM_DoiTuong'!$B$2)+1/ISNUMBER(SEARCH(SUBSTITUTE(UPPER($B197)," ",""),'DM_DoiTuong'!$C$2:$C$19)),1)),"Không tìm thấy"))</f>
        <v/>
      </c>
      <c r="E197" s="5">
        <f>IF($C197="","",IFERROR(INDEX('DM_DiaDiemKham'!$B$2:$B$6,AGGREGATE(15,6,ROW('DM_DiaDiemKham'!$B$2:$B$6)-ROW('DM_DiaDiemKham'!$B$2)+1/ISNUMBER(SEARCH(SUBSTITUTE(UPPER($C197)," ",""),'DM_DiaDiemKham'!$C$2:$C$6)),1)),"Không tìm thấy"))</f>
        <v/>
      </c>
      <c r="G197" s="5">
        <f>IF($D197="","",IFERROR(INDEX('DM_HinhThucChiTra'!$B$2:$B$5,AGGREGATE(15,6,ROW('DM_HinhThucChiTra'!$B$2:$B$5)-ROW('DM_HinhThucChiTra'!$B$2)+1/ISNUMBER(SEARCH(SUBSTITUTE(UPPER($D197)," ",""),'DM_HinhThucChiTra'!$C$2:$C$5)),1)),"Không tìm thấy"))</f>
        <v/>
      </c>
      <c r="I197" s="5">
        <f>IF($E197="","",IFERROR(INDEX('DM_HinhThucKham'!$B$2:$B$3,AGGREGATE(15,6,ROW('DM_HinhThucKham'!$B$2:$B$3)-ROW('DM_HinhThucKham'!$B$2)+1/ISNUMBER(SEARCH(SUBSTITUTE(UPPER($E197)," ",""),'DM_HinhThucKham'!$C$2:$C$3)),1)),"Không tìm thấy"))</f>
        <v/>
      </c>
      <c r="P197" s="5">
        <f>IF($K197="","",IFERROR(INDEX('DM_DanToc'!$B$2:$B$78,AGGREGATE(15,6,ROW('DM_DanToc'!$B$2:$B$78)-ROW('DM_DanToc'!$B$2)+1/ISNUMBER(SEARCH(SUBSTITUTE(UPPER($K197)," ",""),'DM_DanToc'!$C$2:$C$78)),1)),"Không tìm thấy"))</f>
        <v/>
      </c>
      <c r="W197" s="5">
        <f>IF($Q197="","",IFERROR(INDEX('DM_TinhThanh'!$B$2:$B$35,AGGREGATE(15,6,ROW('DM_TinhThanh'!$B$2:$B$35)-ROW('DM_TinhThanh'!$B$2)+1/ISNUMBER(SEARCH(SUBSTITUTE(UPPER($Q197)," ",""),'DM_TinhThanh'!$C$2:$C$35)),1)),"Không tìm thấy"))</f>
        <v/>
      </c>
      <c r="Y197" s="5">
        <f>IF($R197="","",IFERROR(INDEX('DM_XaPhuong'!$B$2:$B$169,AGGREGATE(15,6,ROW('DM_XaPhuong'!$B$2:$B$169)-ROW('DM_XaPhuong'!$B$2)+1/ISNUMBER(SEARCH(SUBSTITUTE(UPPER($R197)," ",""),'DM_XaPhuong'!$C$2:$C$169)),1)),"Không tìm thấy"))</f>
        <v/>
      </c>
      <c r="AB197" s="5">
        <f>IF($T197="","",IFERROR(INDEX('DM_NgheNghiep'!$B$2:$B$11,AGGREGATE(15,6,ROW('DM_NgheNghiep'!$B$2:$B$11)-ROW('DM_NgheNghiep'!$B$2)+1/ISNUMBER(SEARCH(SUBSTITUTE(UPPER($T197)," ",""),'DM_NgheNghiep'!$C$2:$C$11)),1)),"Không tìm thấy"))</f>
        <v/>
      </c>
      <c r="AD197" s="5">
        <f>IF($U197="","",IFERROR(INDEX('DM_NoiCongTac'!$B$2:$B$11,AGGREGATE(15,6,ROW('DM_NoiCongTac'!$B$2:$B$11)-ROW('DM_NoiCongTac'!$B$2)+1/ISNUMBER(SEARCH(SUBSTITUTE(UPPER($U197)," ",""),'DM_NoiCongTac'!$C$2:$C$11)),1)),"Không tìm thấy"))</f>
        <v/>
      </c>
      <c r="AF197" s="5">
        <f>IF($V197="","",IFERROR(INDEX('DM_XaPhuong'!$B$2:$B$169,AGGREGATE(15,6,ROW('DM_XaPhuong'!$B$2:$B$169)-ROW('DM_XaPhuong'!$B$2)+1/ISNUMBER(SEARCH(SUBSTITUTE(UPPER($V197)," ",""),'DM_XaPhuong'!$C$2:$C$169)),1)),"Không tìm thấy"))</f>
        <v/>
      </c>
    </row>
    <row r="198">
      <c r="C198" s="5">
        <f>IF($B198="","",IFERROR(INDEX('DM_DoiTuong'!$B$2:$B$19,AGGREGATE(15,6,ROW('DM_DoiTuong'!$B$2:$B$19)-ROW('DM_DoiTuong'!$B$2)+1/ISNUMBER(SEARCH(SUBSTITUTE(UPPER($B198)," ",""),'DM_DoiTuong'!$C$2:$C$19)),1)),"Không tìm thấy"))</f>
        <v/>
      </c>
      <c r="E198" s="5">
        <f>IF($C198="","",IFERROR(INDEX('DM_DiaDiemKham'!$B$2:$B$6,AGGREGATE(15,6,ROW('DM_DiaDiemKham'!$B$2:$B$6)-ROW('DM_DiaDiemKham'!$B$2)+1/ISNUMBER(SEARCH(SUBSTITUTE(UPPER($C198)," ",""),'DM_DiaDiemKham'!$C$2:$C$6)),1)),"Không tìm thấy"))</f>
        <v/>
      </c>
      <c r="G198" s="5">
        <f>IF($D198="","",IFERROR(INDEX('DM_HinhThucChiTra'!$B$2:$B$5,AGGREGATE(15,6,ROW('DM_HinhThucChiTra'!$B$2:$B$5)-ROW('DM_HinhThucChiTra'!$B$2)+1/ISNUMBER(SEARCH(SUBSTITUTE(UPPER($D198)," ",""),'DM_HinhThucChiTra'!$C$2:$C$5)),1)),"Không tìm thấy"))</f>
        <v/>
      </c>
      <c r="I198" s="5">
        <f>IF($E198="","",IFERROR(INDEX('DM_HinhThucKham'!$B$2:$B$3,AGGREGATE(15,6,ROW('DM_HinhThucKham'!$B$2:$B$3)-ROW('DM_HinhThucKham'!$B$2)+1/ISNUMBER(SEARCH(SUBSTITUTE(UPPER($E198)," ",""),'DM_HinhThucKham'!$C$2:$C$3)),1)),"Không tìm thấy"))</f>
        <v/>
      </c>
      <c r="P198" s="5">
        <f>IF($K198="","",IFERROR(INDEX('DM_DanToc'!$B$2:$B$78,AGGREGATE(15,6,ROW('DM_DanToc'!$B$2:$B$78)-ROW('DM_DanToc'!$B$2)+1/ISNUMBER(SEARCH(SUBSTITUTE(UPPER($K198)," ",""),'DM_DanToc'!$C$2:$C$78)),1)),"Không tìm thấy"))</f>
        <v/>
      </c>
      <c r="W198" s="5">
        <f>IF($Q198="","",IFERROR(INDEX('DM_TinhThanh'!$B$2:$B$35,AGGREGATE(15,6,ROW('DM_TinhThanh'!$B$2:$B$35)-ROW('DM_TinhThanh'!$B$2)+1/ISNUMBER(SEARCH(SUBSTITUTE(UPPER($Q198)," ",""),'DM_TinhThanh'!$C$2:$C$35)),1)),"Không tìm thấy"))</f>
        <v/>
      </c>
      <c r="Y198" s="5">
        <f>IF($R198="","",IFERROR(INDEX('DM_XaPhuong'!$B$2:$B$169,AGGREGATE(15,6,ROW('DM_XaPhuong'!$B$2:$B$169)-ROW('DM_XaPhuong'!$B$2)+1/ISNUMBER(SEARCH(SUBSTITUTE(UPPER($R198)," ",""),'DM_XaPhuong'!$C$2:$C$169)),1)),"Không tìm thấy"))</f>
        <v/>
      </c>
      <c r="AB198" s="5">
        <f>IF($T198="","",IFERROR(INDEX('DM_NgheNghiep'!$B$2:$B$11,AGGREGATE(15,6,ROW('DM_NgheNghiep'!$B$2:$B$11)-ROW('DM_NgheNghiep'!$B$2)+1/ISNUMBER(SEARCH(SUBSTITUTE(UPPER($T198)," ",""),'DM_NgheNghiep'!$C$2:$C$11)),1)),"Không tìm thấy"))</f>
        <v/>
      </c>
      <c r="AD198" s="5">
        <f>IF($U198="","",IFERROR(INDEX('DM_NoiCongTac'!$B$2:$B$11,AGGREGATE(15,6,ROW('DM_NoiCongTac'!$B$2:$B$11)-ROW('DM_NoiCongTac'!$B$2)+1/ISNUMBER(SEARCH(SUBSTITUTE(UPPER($U198)," ",""),'DM_NoiCongTac'!$C$2:$C$11)),1)),"Không tìm thấy"))</f>
        <v/>
      </c>
      <c r="AF198" s="5">
        <f>IF($V198="","",IFERROR(INDEX('DM_XaPhuong'!$B$2:$B$169,AGGREGATE(15,6,ROW('DM_XaPhuong'!$B$2:$B$169)-ROW('DM_XaPhuong'!$B$2)+1/ISNUMBER(SEARCH(SUBSTITUTE(UPPER($V198)," ",""),'DM_XaPhuong'!$C$2:$C$169)),1)),"Không tìm thấy"))</f>
        <v/>
      </c>
    </row>
    <row r="199">
      <c r="C199" s="5">
        <f>IF($B199="","",IFERROR(INDEX('DM_DoiTuong'!$B$2:$B$19,AGGREGATE(15,6,ROW('DM_DoiTuong'!$B$2:$B$19)-ROW('DM_DoiTuong'!$B$2)+1/ISNUMBER(SEARCH(SUBSTITUTE(UPPER($B199)," ",""),'DM_DoiTuong'!$C$2:$C$19)),1)),"Không tìm thấy"))</f>
        <v/>
      </c>
      <c r="E199" s="5">
        <f>IF($C199="","",IFERROR(INDEX('DM_DiaDiemKham'!$B$2:$B$6,AGGREGATE(15,6,ROW('DM_DiaDiemKham'!$B$2:$B$6)-ROW('DM_DiaDiemKham'!$B$2)+1/ISNUMBER(SEARCH(SUBSTITUTE(UPPER($C199)," ",""),'DM_DiaDiemKham'!$C$2:$C$6)),1)),"Không tìm thấy"))</f>
        <v/>
      </c>
      <c r="G199" s="5">
        <f>IF($D199="","",IFERROR(INDEX('DM_HinhThucChiTra'!$B$2:$B$5,AGGREGATE(15,6,ROW('DM_HinhThucChiTra'!$B$2:$B$5)-ROW('DM_HinhThucChiTra'!$B$2)+1/ISNUMBER(SEARCH(SUBSTITUTE(UPPER($D199)," ",""),'DM_HinhThucChiTra'!$C$2:$C$5)),1)),"Không tìm thấy"))</f>
        <v/>
      </c>
      <c r="I199" s="5">
        <f>IF($E199="","",IFERROR(INDEX('DM_HinhThucKham'!$B$2:$B$3,AGGREGATE(15,6,ROW('DM_HinhThucKham'!$B$2:$B$3)-ROW('DM_HinhThucKham'!$B$2)+1/ISNUMBER(SEARCH(SUBSTITUTE(UPPER($E199)," ",""),'DM_HinhThucKham'!$C$2:$C$3)),1)),"Không tìm thấy"))</f>
        <v/>
      </c>
      <c r="P199" s="5">
        <f>IF($K199="","",IFERROR(INDEX('DM_DanToc'!$B$2:$B$78,AGGREGATE(15,6,ROW('DM_DanToc'!$B$2:$B$78)-ROW('DM_DanToc'!$B$2)+1/ISNUMBER(SEARCH(SUBSTITUTE(UPPER($K199)," ",""),'DM_DanToc'!$C$2:$C$78)),1)),"Không tìm thấy"))</f>
        <v/>
      </c>
      <c r="W199" s="5">
        <f>IF($Q199="","",IFERROR(INDEX('DM_TinhThanh'!$B$2:$B$35,AGGREGATE(15,6,ROW('DM_TinhThanh'!$B$2:$B$35)-ROW('DM_TinhThanh'!$B$2)+1/ISNUMBER(SEARCH(SUBSTITUTE(UPPER($Q199)," ",""),'DM_TinhThanh'!$C$2:$C$35)),1)),"Không tìm thấy"))</f>
        <v/>
      </c>
      <c r="Y199" s="5">
        <f>IF($R199="","",IFERROR(INDEX('DM_XaPhuong'!$B$2:$B$169,AGGREGATE(15,6,ROW('DM_XaPhuong'!$B$2:$B$169)-ROW('DM_XaPhuong'!$B$2)+1/ISNUMBER(SEARCH(SUBSTITUTE(UPPER($R199)," ",""),'DM_XaPhuong'!$C$2:$C$169)),1)),"Không tìm thấy"))</f>
        <v/>
      </c>
      <c r="AB199" s="5">
        <f>IF($T199="","",IFERROR(INDEX('DM_NgheNghiep'!$B$2:$B$11,AGGREGATE(15,6,ROW('DM_NgheNghiep'!$B$2:$B$11)-ROW('DM_NgheNghiep'!$B$2)+1/ISNUMBER(SEARCH(SUBSTITUTE(UPPER($T199)," ",""),'DM_NgheNghiep'!$C$2:$C$11)),1)),"Không tìm thấy"))</f>
        <v/>
      </c>
      <c r="AD199" s="5">
        <f>IF($U199="","",IFERROR(INDEX('DM_NoiCongTac'!$B$2:$B$11,AGGREGATE(15,6,ROW('DM_NoiCongTac'!$B$2:$B$11)-ROW('DM_NoiCongTac'!$B$2)+1/ISNUMBER(SEARCH(SUBSTITUTE(UPPER($U199)," ",""),'DM_NoiCongTac'!$C$2:$C$11)),1)),"Không tìm thấy"))</f>
        <v/>
      </c>
      <c r="AF199" s="5">
        <f>IF($V199="","",IFERROR(INDEX('DM_XaPhuong'!$B$2:$B$169,AGGREGATE(15,6,ROW('DM_XaPhuong'!$B$2:$B$169)-ROW('DM_XaPhuong'!$B$2)+1/ISNUMBER(SEARCH(SUBSTITUTE(UPPER($V199)," ",""),'DM_XaPhuong'!$C$2:$C$169)),1)),"Không tìm thấy"))</f>
        <v/>
      </c>
    </row>
    <row r="200">
      <c r="C200" s="5">
        <f>IF($B200="","",IFERROR(INDEX('DM_DoiTuong'!$B$2:$B$19,AGGREGATE(15,6,ROW('DM_DoiTuong'!$B$2:$B$19)-ROW('DM_DoiTuong'!$B$2)+1/ISNUMBER(SEARCH(SUBSTITUTE(UPPER($B200)," ",""),'DM_DoiTuong'!$C$2:$C$19)),1)),"Không tìm thấy"))</f>
        <v/>
      </c>
      <c r="E200" s="5">
        <f>IF($C200="","",IFERROR(INDEX('DM_DiaDiemKham'!$B$2:$B$6,AGGREGATE(15,6,ROW('DM_DiaDiemKham'!$B$2:$B$6)-ROW('DM_DiaDiemKham'!$B$2)+1/ISNUMBER(SEARCH(SUBSTITUTE(UPPER($C200)," ",""),'DM_DiaDiemKham'!$C$2:$C$6)),1)),"Không tìm thấy"))</f>
        <v/>
      </c>
      <c r="G200" s="5">
        <f>IF($D200="","",IFERROR(INDEX('DM_HinhThucChiTra'!$B$2:$B$5,AGGREGATE(15,6,ROW('DM_HinhThucChiTra'!$B$2:$B$5)-ROW('DM_HinhThucChiTra'!$B$2)+1/ISNUMBER(SEARCH(SUBSTITUTE(UPPER($D200)," ",""),'DM_HinhThucChiTra'!$C$2:$C$5)),1)),"Không tìm thấy"))</f>
        <v/>
      </c>
      <c r="I200" s="5">
        <f>IF($E200="","",IFERROR(INDEX('DM_HinhThucKham'!$B$2:$B$3,AGGREGATE(15,6,ROW('DM_HinhThucKham'!$B$2:$B$3)-ROW('DM_HinhThucKham'!$B$2)+1/ISNUMBER(SEARCH(SUBSTITUTE(UPPER($E200)," ",""),'DM_HinhThucKham'!$C$2:$C$3)),1)),"Không tìm thấy"))</f>
        <v/>
      </c>
      <c r="P200" s="5">
        <f>IF($K200="","",IFERROR(INDEX('DM_DanToc'!$B$2:$B$78,AGGREGATE(15,6,ROW('DM_DanToc'!$B$2:$B$78)-ROW('DM_DanToc'!$B$2)+1/ISNUMBER(SEARCH(SUBSTITUTE(UPPER($K200)," ",""),'DM_DanToc'!$C$2:$C$78)),1)),"Không tìm thấy"))</f>
        <v/>
      </c>
      <c r="W200" s="5">
        <f>IF($Q200="","",IFERROR(INDEX('DM_TinhThanh'!$B$2:$B$35,AGGREGATE(15,6,ROW('DM_TinhThanh'!$B$2:$B$35)-ROW('DM_TinhThanh'!$B$2)+1/ISNUMBER(SEARCH(SUBSTITUTE(UPPER($Q200)," ",""),'DM_TinhThanh'!$C$2:$C$35)),1)),"Không tìm thấy"))</f>
        <v/>
      </c>
      <c r="Y200" s="5">
        <f>IF($R200="","",IFERROR(INDEX('DM_XaPhuong'!$B$2:$B$169,AGGREGATE(15,6,ROW('DM_XaPhuong'!$B$2:$B$169)-ROW('DM_XaPhuong'!$B$2)+1/ISNUMBER(SEARCH(SUBSTITUTE(UPPER($R200)," ",""),'DM_XaPhuong'!$C$2:$C$169)),1)),"Không tìm thấy"))</f>
        <v/>
      </c>
      <c r="AB200" s="5">
        <f>IF($T200="","",IFERROR(INDEX('DM_NgheNghiep'!$B$2:$B$11,AGGREGATE(15,6,ROW('DM_NgheNghiep'!$B$2:$B$11)-ROW('DM_NgheNghiep'!$B$2)+1/ISNUMBER(SEARCH(SUBSTITUTE(UPPER($T200)," ",""),'DM_NgheNghiep'!$C$2:$C$11)),1)),"Không tìm thấy"))</f>
        <v/>
      </c>
      <c r="AD200" s="5">
        <f>IF($U200="","",IFERROR(INDEX('DM_NoiCongTac'!$B$2:$B$11,AGGREGATE(15,6,ROW('DM_NoiCongTac'!$B$2:$B$11)-ROW('DM_NoiCongTac'!$B$2)+1/ISNUMBER(SEARCH(SUBSTITUTE(UPPER($U200)," ",""),'DM_NoiCongTac'!$C$2:$C$11)),1)),"Không tìm thấy"))</f>
        <v/>
      </c>
      <c r="AF200" s="5">
        <f>IF($V200="","",IFERROR(INDEX('DM_XaPhuong'!$B$2:$B$169,AGGREGATE(15,6,ROW('DM_XaPhuong'!$B$2:$B$169)-ROW('DM_XaPhuong'!$B$2)+1/ISNUMBER(SEARCH(SUBSTITUTE(UPPER($V200)," ",""),'DM_XaPhuong'!$C$2:$C$169)),1)),"Không tìm thấy"))</f>
        <v/>
      </c>
    </row>
    <row r="201">
      <c r="C201" s="5">
        <f>IF($B201="","",IFERROR(INDEX('DM_DoiTuong'!$B$2:$B$19,AGGREGATE(15,6,ROW('DM_DoiTuong'!$B$2:$B$19)-ROW('DM_DoiTuong'!$B$2)+1/ISNUMBER(SEARCH(SUBSTITUTE(UPPER($B201)," ",""),'DM_DoiTuong'!$C$2:$C$19)),1)),"Không tìm thấy"))</f>
        <v/>
      </c>
      <c r="E201" s="5">
        <f>IF($C201="","",IFERROR(INDEX('DM_DiaDiemKham'!$B$2:$B$6,AGGREGATE(15,6,ROW('DM_DiaDiemKham'!$B$2:$B$6)-ROW('DM_DiaDiemKham'!$B$2)+1/ISNUMBER(SEARCH(SUBSTITUTE(UPPER($C201)," ",""),'DM_DiaDiemKham'!$C$2:$C$6)),1)),"Không tìm thấy"))</f>
        <v/>
      </c>
      <c r="G201" s="5">
        <f>IF($D201="","",IFERROR(INDEX('DM_HinhThucChiTra'!$B$2:$B$5,AGGREGATE(15,6,ROW('DM_HinhThucChiTra'!$B$2:$B$5)-ROW('DM_HinhThucChiTra'!$B$2)+1/ISNUMBER(SEARCH(SUBSTITUTE(UPPER($D201)," ",""),'DM_HinhThucChiTra'!$C$2:$C$5)),1)),"Không tìm thấy"))</f>
        <v/>
      </c>
      <c r="I201" s="5">
        <f>IF($E201="","",IFERROR(INDEX('DM_HinhThucKham'!$B$2:$B$3,AGGREGATE(15,6,ROW('DM_HinhThucKham'!$B$2:$B$3)-ROW('DM_HinhThucKham'!$B$2)+1/ISNUMBER(SEARCH(SUBSTITUTE(UPPER($E201)," ",""),'DM_HinhThucKham'!$C$2:$C$3)),1)),"Không tìm thấy"))</f>
        <v/>
      </c>
      <c r="P201" s="5">
        <f>IF($K201="","",IFERROR(INDEX('DM_DanToc'!$B$2:$B$78,AGGREGATE(15,6,ROW('DM_DanToc'!$B$2:$B$78)-ROW('DM_DanToc'!$B$2)+1/ISNUMBER(SEARCH(SUBSTITUTE(UPPER($K201)," ",""),'DM_DanToc'!$C$2:$C$78)),1)),"Không tìm thấy"))</f>
        <v/>
      </c>
      <c r="W201" s="5">
        <f>IF($Q201="","",IFERROR(INDEX('DM_TinhThanh'!$B$2:$B$35,AGGREGATE(15,6,ROW('DM_TinhThanh'!$B$2:$B$35)-ROW('DM_TinhThanh'!$B$2)+1/ISNUMBER(SEARCH(SUBSTITUTE(UPPER($Q201)," ",""),'DM_TinhThanh'!$C$2:$C$35)),1)),"Không tìm thấy"))</f>
        <v/>
      </c>
      <c r="Y201" s="5">
        <f>IF($R201="","",IFERROR(INDEX('DM_XaPhuong'!$B$2:$B$169,AGGREGATE(15,6,ROW('DM_XaPhuong'!$B$2:$B$169)-ROW('DM_XaPhuong'!$B$2)+1/ISNUMBER(SEARCH(SUBSTITUTE(UPPER($R201)," ",""),'DM_XaPhuong'!$C$2:$C$169)),1)),"Không tìm thấy"))</f>
        <v/>
      </c>
      <c r="AB201" s="5">
        <f>IF($T201="","",IFERROR(INDEX('DM_NgheNghiep'!$B$2:$B$11,AGGREGATE(15,6,ROW('DM_NgheNghiep'!$B$2:$B$11)-ROW('DM_NgheNghiep'!$B$2)+1/ISNUMBER(SEARCH(SUBSTITUTE(UPPER($T201)," ",""),'DM_NgheNghiep'!$C$2:$C$11)),1)),"Không tìm thấy"))</f>
        <v/>
      </c>
      <c r="AD201" s="5">
        <f>IF($U201="","",IFERROR(INDEX('DM_NoiCongTac'!$B$2:$B$11,AGGREGATE(15,6,ROW('DM_NoiCongTac'!$B$2:$B$11)-ROW('DM_NoiCongTac'!$B$2)+1/ISNUMBER(SEARCH(SUBSTITUTE(UPPER($U201)," ",""),'DM_NoiCongTac'!$C$2:$C$11)),1)),"Không tìm thấy"))</f>
        <v/>
      </c>
      <c r="AF201" s="5">
        <f>IF($V201="","",IFERROR(INDEX('DM_XaPhuong'!$B$2:$B$169,AGGREGATE(15,6,ROW('DM_XaPhuong'!$B$2:$B$169)-ROW('DM_XaPhuong'!$B$2)+1/ISNUMBER(SEARCH(SUBSTITUTE(UPPER($V201)," ",""),'DM_XaPhuong'!$C$2:$C$169)),1)),"Không tìm thấy"))</f>
        <v/>
      </c>
    </row>
    <row r="202">
      <c r="C202" s="5">
        <f>IF($B202="","",IFERROR(INDEX('DM_DoiTuong'!$B$2:$B$19,AGGREGATE(15,6,ROW('DM_DoiTuong'!$B$2:$B$19)-ROW('DM_DoiTuong'!$B$2)+1/ISNUMBER(SEARCH(SUBSTITUTE(UPPER($B202)," ",""),'DM_DoiTuong'!$C$2:$C$19)),1)),"Không tìm thấy"))</f>
        <v/>
      </c>
      <c r="E202" s="5">
        <f>IF($C202="","",IFERROR(INDEX('DM_DiaDiemKham'!$B$2:$B$6,AGGREGATE(15,6,ROW('DM_DiaDiemKham'!$B$2:$B$6)-ROW('DM_DiaDiemKham'!$B$2)+1/ISNUMBER(SEARCH(SUBSTITUTE(UPPER($C202)," ",""),'DM_DiaDiemKham'!$C$2:$C$6)),1)),"Không tìm thấy"))</f>
        <v/>
      </c>
      <c r="G202" s="5">
        <f>IF($D202="","",IFERROR(INDEX('DM_HinhThucChiTra'!$B$2:$B$5,AGGREGATE(15,6,ROW('DM_HinhThucChiTra'!$B$2:$B$5)-ROW('DM_HinhThucChiTra'!$B$2)+1/ISNUMBER(SEARCH(SUBSTITUTE(UPPER($D202)," ",""),'DM_HinhThucChiTra'!$C$2:$C$5)),1)),"Không tìm thấy"))</f>
        <v/>
      </c>
      <c r="I202" s="5">
        <f>IF($E202="","",IFERROR(INDEX('DM_HinhThucKham'!$B$2:$B$3,AGGREGATE(15,6,ROW('DM_HinhThucKham'!$B$2:$B$3)-ROW('DM_HinhThucKham'!$B$2)+1/ISNUMBER(SEARCH(SUBSTITUTE(UPPER($E202)," ",""),'DM_HinhThucKham'!$C$2:$C$3)),1)),"Không tìm thấy"))</f>
        <v/>
      </c>
      <c r="P202" s="5">
        <f>IF($K202="","",IFERROR(INDEX('DM_DanToc'!$B$2:$B$78,AGGREGATE(15,6,ROW('DM_DanToc'!$B$2:$B$78)-ROW('DM_DanToc'!$B$2)+1/ISNUMBER(SEARCH(SUBSTITUTE(UPPER($K202)," ",""),'DM_DanToc'!$C$2:$C$78)),1)),"Không tìm thấy"))</f>
        <v/>
      </c>
      <c r="W202" s="5">
        <f>IF($Q202="","",IFERROR(INDEX('DM_TinhThanh'!$B$2:$B$35,AGGREGATE(15,6,ROW('DM_TinhThanh'!$B$2:$B$35)-ROW('DM_TinhThanh'!$B$2)+1/ISNUMBER(SEARCH(SUBSTITUTE(UPPER($Q202)," ",""),'DM_TinhThanh'!$C$2:$C$35)),1)),"Không tìm thấy"))</f>
        <v/>
      </c>
      <c r="Y202" s="5">
        <f>IF($R202="","",IFERROR(INDEX('DM_XaPhuong'!$B$2:$B$169,AGGREGATE(15,6,ROW('DM_XaPhuong'!$B$2:$B$169)-ROW('DM_XaPhuong'!$B$2)+1/ISNUMBER(SEARCH(SUBSTITUTE(UPPER($R202)," ",""),'DM_XaPhuong'!$C$2:$C$169)),1)),"Không tìm thấy"))</f>
        <v/>
      </c>
      <c r="AB202" s="5">
        <f>IF($T202="","",IFERROR(INDEX('DM_NgheNghiep'!$B$2:$B$11,AGGREGATE(15,6,ROW('DM_NgheNghiep'!$B$2:$B$11)-ROW('DM_NgheNghiep'!$B$2)+1/ISNUMBER(SEARCH(SUBSTITUTE(UPPER($T202)," ",""),'DM_NgheNghiep'!$C$2:$C$11)),1)),"Không tìm thấy"))</f>
        <v/>
      </c>
      <c r="AD202" s="5">
        <f>IF($U202="","",IFERROR(INDEX('DM_NoiCongTac'!$B$2:$B$11,AGGREGATE(15,6,ROW('DM_NoiCongTac'!$B$2:$B$11)-ROW('DM_NoiCongTac'!$B$2)+1/ISNUMBER(SEARCH(SUBSTITUTE(UPPER($U202)," ",""),'DM_NoiCongTac'!$C$2:$C$11)),1)),"Không tìm thấy"))</f>
        <v/>
      </c>
      <c r="AF202" s="5">
        <f>IF($V202="","",IFERROR(INDEX('DM_XaPhuong'!$B$2:$B$169,AGGREGATE(15,6,ROW('DM_XaPhuong'!$B$2:$B$169)-ROW('DM_XaPhuong'!$B$2)+1/ISNUMBER(SEARCH(SUBSTITUTE(UPPER($V202)," ",""),'DM_XaPhuong'!$C$2:$C$169)),1)),"Không tìm thấy"))</f>
        <v/>
      </c>
    </row>
    <row r="203">
      <c r="C203" s="5">
        <f>IF($B203="","",IFERROR(INDEX('DM_DoiTuong'!$B$2:$B$19,AGGREGATE(15,6,ROW('DM_DoiTuong'!$B$2:$B$19)-ROW('DM_DoiTuong'!$B$2)+1/ISNUMBER(SEARCH(SUBSTITUTE(UPPER($B203)," ",""),'DM_DoiTuong'!$C$2:$C$19)),1)),"Không tìm thấy"))</f>
        <v/>
      </c>
      <c r="E203" s="5">
        <f>IF($C203="","",IFERROR(INDEX('DM_DiaDiemKham'!$B$2:$B$6,AGGREGATE(15,6,ROW('DM_DiaDiemKham'!$B$2:$B$6)-ROW('DM_DiaDiemKham'!$B$2)+1/ISNUMBER(SEARCH(SUBSTITUTE(UPPER($C203)," ",""),'DM_DiaDiemKham'!$C$2:$C$6)),1)),"Không tìm thấy"))</f>
        <v/>
      </c>
      <c r="G203" s="5">
        <f>IF($D203="","",IFERROR(INDEX('DM_HinhThucChiTra'!$B$2:$B$5,AGGREGATE(15,6,ROW('DM_HinhThucChiTra'!$B$2:$B$5)-ROW('DM_HinhThucChiTra'!$B$2)+1/ISNUMBER(SEARCH(SUBSTITUTE(UPPER($D203)," ",""),'DM_HinhThucChiTra'!$C$2:$C$5)),1)),"Không tìm thấy"))</f>
        <v/>
      </c>
      <c r="I203" s="5">
        <f>IF($E203="","",IFERROR(INDEX('DM_HinhThucKham'!$B$2:$B$3,AGGREGATE(15,6,ROW('DM_HinhThucKham'!$B$2:$B$3)-ROW('DM_HinhThucKham'!$B$2)+1/ISNUMBER(SEARCH(SUBSTITUTE(UPPER($E203)," ",""),'DM_HinhThucKham'!$C$2:$C$3)),1)),"Không tìm thấy"))</f>
        <v/>
      </c>
      <c r="P203" s="5">
        <f>IF($K203="","",IFERROR(INDEX('DM_DanToc'!$B$2:$B$78,AGGREGATE(15,6,ROW('DM_DanToc'!$B$2:$B$78)-ROW('DM_DanToc'!$B$2)+1/ISNUMBER(SEARCH(SUBSTITUTE(UPPER($K203)," ",""),'DM_DanToc'!$C$2:$C$78)),1)),"Không tìm thấy"))</f>
        <v/>
      </c>
      <c r="W203" s="5">
        <f>IF($Q203="","",IFERROR(INDEX('DM_TinhThanh'!$B$2:$B$35,AGGREGATE(15,6,ROW('DM_TinhThanh'!$B$2:$B$35)-ROW('DM_TinhThanh'!$B$2)+1/ISNUMBER(SEARCH(SUBSTITUTE(UPPER($Q203)," ",""),'DM_TinhThanh'!$C$2:$C$35)),1)),"Không tìm thấy"))</f>
        <v/>
      </c>
      <c r="Y203" s="5">
        <f>IF($R203="","",IFERROR(INDEX('DM_XaPhuong'!$B$2:$B$169,AGGREGATE(15,6,ROW('DM_XaPhuong'!$B$2:$B$169)-ROW('DM_XaPhuong'!$B$2)+1/ISNUMBER(SEARCH(SUBSTITUTE(UPPER($R203)," ",""),'DM_XaPhuong'!$C$2:$C$169)),1)),"Không tìm thấy"))</f>
        <v/>
      </c>
      <c r="AB203" s="5">
        <f>IF($T203="","",IFERROR(INDEX('DM_NgheNghiep'!$B$2:$B$11,AGGREGATE(15,6,ROW('DM_NgheNghiep'!$B$2:$B$11)-ROW('DM_NgheNghiep'!$B$2)+1/ISNUMBER(SEARCH(SUBSTITUTE(UPPER($T203)," ",""),'DM_NgheNghiep'!$C$2:$C$11)),1)),"Không tìm thấy"))</f>
        <v/>
      </c>
      <c r="AD203" s="5">
        <f>IF($U203="","",IFERROR(INDEX('DM_NoiCongTac'!$B$2:$B$11,AGGREGATE(15,6,ROW('DM_NoiCongTac'!$B$2:$B$11)-ROW('DM_NoiCongTac'!$B$2)+1/ISNUMBER(SEARCH(SUBSTITUTE(UPPER($U203)," ",""),'DM_NoiCongTac'!$C$2:$C$11)),1)),"Không tìm thấy"))</f>
        <v/>
      </c>
      <c r="AF203" s="5">
        <f>IF($V203="","",IFERROR(INDEX('DM_XaPhuong'!$B$2:$B$169,AGGREGATE(15,6,ROW('DM_XaPhuong'!$B$2:$B$169)-ROW('DM_XaPhuong'!$B$2)+1/ISNUMBER(SEARCH(SUBSTITUTE(UPPER($V203)," ",""),'DM_XaPhuong'!$C$2:$C$169)),1)),"Không tìm thấy"))</f>
        <v/>
      </c>
    </row>
    <row r="204">
      <c r="C204" s="5">
        <f>IF($B204="","",IFERROR(INDEX('DM_DoiTuong'!$B$2:$B$19,AGGREGATE(15,6,ROW('DM_DoiTuong'!$B$2:$B$19)-ROW('DM_DoiTuong'!$B$2)+1/ISNUMBER(SEARCH(SUBSTITUTE(UPPER($B204)," ",""),'DM_DoiTuong'!$C$2:$C$19)),1)),"Không tìm thấy"))</f>
        <v/>
      </c>
      <c r="E204" s="5">
        <f>IF($C204="","",IFERROR(INDEX('DM_DiaDiemKham'!$B$2:$B$6,AGGREGATE(15,6,ROW('DM_DiaDiemKham'!$B$2:$B$6)-ROW('DM_DiaDiemKham'!$B$2)+1/ISNUMBER(SEARCH(SUBSTITUTE(UPPER($C204)," ",""),'DM_DiaDiemKham'!$C$2:$C$6)),1)),"Không tìm thấy"))</f>
        <v/>
      </c>
      <c r="G204" s="5">
        <f>IF($D204="","",IFERROR(INDEX('DM_HinhThucChiTra'!$B$2:$B$5,AGGREGATE(15,6,ROW('DM_HinhThucChiTra'!$B$2:$B$5)-ROW('DM_HinhThucChiTra'!$B$2)+1/ISNUMBER(SEARCH(SUBSTITUTE(UPPER($D204)," ",""),'DM_HinhThucChiTra'!$C$2:$C$5)),1)),"Không tìm thấy"))</f>
        <v/>
      </c>
      <c r="I204" s="5">
        <f>IF($E204="","",IFERROR(INDEX('DM_HinhThucKham'!$B$2:$B$3,AGGREGATE(15,6,ROW('DM_HinhThucKham'!$B$2:$B$3)-ROW('DM_HinhThucKham'!$B$2)+1/ISNUMBER(SEARCH(SUBSTITUTE(UPPER($E204)," ",""),'DM_HinhThucKham'!$C$2:$C$3)),1)),"Không tìm thấy"))</f>
        <v/>
      </c>
      <c r="P204" s="5">
        <f>IF($K204="","",IFERROR(INDEX('DM_DanToc'!$B$2:$B$78,AGGREGATE(15,6,ROW('DM_DanToc'!$B$2:$B$78)-ROW('DM_DanToc'!$B$2)+1/ISNUMBER(SEARCH(SUBSTITUTE(UPPER($K204)," ",""),'DM_DanToc'!$C$2:$C$78)),1)),"Không tìm thấy"))</f>
        <v/>
      </c>
      <c r="W204" s="5">
        <f>IF($Q204="","",IFERROR(INDEX('DM_TinhThanh'!$B$2:$B$35,AGGREGATE(15,6,ROW('DM_TinhThanh'!$B$2:$B$35)-ROW('DM_TinhThanh'!$B$2)+1/ISNUMBER(SEARCH(SUBSTITUTE(UPPER($Q204)," ",""),'DM_TinhThanh'!$C$2:$C$35)),1)),"Không tìm thấy"))</f>
        <v/>
      </c>
      <c r="Y204" s="5">
        <f>IF($R204="","",IFERROR(INDEX('DM_XaPhuong'!$B$2:$B$169,AGGREGATE(15,6,ROW('DM_XaPhuong'!$B$2:$B$169)-ROW('DM_XaPhuong'!$B$2)+1/ISNUMBER(SEARCH(SUBSTITUTE(UPPER($R204)," ",""),'DM_XaPhuong'!$C$2:$C$169)),1)),"Không tìm thấy"))</f>
        <v/>
      </c>
      <c r="AB204" s="5">
        <f>IF($T204="","",IFERROR(INDEX('DM_NgheNghiep'!$B$2:$B$11,AGGREGATE(15,6,ROW('DM_NgheNghiep'!$B$2:$B$11)-ROW('DM_NgheNghiep'!$B$2)+1/ISNUMBER(SEARCH(SUBSTITUTE(UPPER($T204)," ",""),'DM_NgheNghiep'!$C$2:$C$11)),1)),"Không tìm thấy"))</f>
        <v/>
      </c>
      <c r="AD204" s="5">
        <f>IF($U204="","",IFERROR(INDEX('DM_NoiCongTac'!$B$2:$B$11,AGGREGATE(15,6,ROW('DM_NoiCongTac'!$B$2:$B$11)-ROW('DM_NoiCongTac'!$B$2)+1/ISNUMBER(SEARCH(SUBSTITUTE(UPPER($U204)," ",""),'DM_NoiCongTac'!$C$2:$C$11)),1)),"Không tìm thấy"))</f>
        <v/>
      </c>
      <c r="AF204" s="5">
        <f>IF($V204="","",IFERROR(INDEX('DM_XaPhuong'!$B$2:$B$169,AGGREGATE(15,6,ROW('DM_XaPhuong'!$B$2:$B$169)-ROW('DM_XaPhuong'!$B$2)+1/ISNUMBER(SEARCH(SUBSTITUTE(UPPER($V204)," ",""),'DM_XaPhuong'!$C$2:$C$169)),1)),"Không tìm thấy"))</f>
        <v/>
      </c>
    </row>
    <row r="205">
      <c r="C205" s="5">
        <f>IF($B205="","",IFERROR(INDEX('DM_DoiTuong'!$B$2:$B$19,AGGREGATE(15,6,ROW('DM_DoiTuong'!$B$2:$B$19)-ROW('DM_DoiTuong'!$B$2)+1/ISNUMBER(SEARCH(SUBSTITUTE(UPPER($B205)," ",""),'DM_DoiTuong'!$C$2:$C$19)),1)),"Không tìm thấy"))</f>
        <v/>
      </c>
      <c r="E205" s="5">
        <f>IF($C205="","",IFERROR(INDEX('DM_DiaDiemKham'!$B$2:$B$6,AGGREGATE(15,6,ROW('DM_DiaDiemKham'!$B$2:$B$6)-ROW('DM_DiaDiemKham'!$B$2)+1/ISNUMBER(SEARCH(SUBSTITUTE(UPPER($C205)," ",""),'DM_DiaDiemKham'!$C$2:$C$6)),1)),"Không tìm thấy"))</f>
        <v/>
      </c>
      <c r="G205" s="5">
        <f>IF($D205="","",IFERROR(INDEX('DM_HinhThucChiTra'!$B$2:$B$5,AGGREGATE(15,6,ROW('DM_HinhThucChiTra'!$B$2:$B$5)-ROW('DM_HinhThucChiTra'!$B$2)+1/ISNUMBER(SEARCH(SUBSTITUTE(UPPER($D205)," ",""),'DM_HinhThucChiTra'!$C$2:$C$5)),1)),"Không tìm thấy"))</f>
        <v/>
      </c>
      <c r="I205" s="5">
        <f>IF($E205="","",IFERROR(INDEX('DM_HinhThucKham'!$B$2:$B$3,AGGREGATE(15,6,ROW('DM_HinhThucKham'!$B$2:$B$3)-ROW('DM_HinhThucKham'!$B$2)+1/ISNUMBER(SEARCH(SUBSTITUTE(UPPER($E205)," ",""),'DM_HinhThucKham'!$C$2:$C$3)),1)),"Không tìm thấy"))</f>
        <v/>
      </c>
      <c r="P205" s="5">
        <f>IF($K205="","",IFERROR(INDEX('DM_DanToc'!$B$2:$B$78,AGGREGATE(15,6,ROW('DM_DanToc'!$B$2:$B$78)-ROW('DM_DanToc'!$B$2)+1/ISNUMBER(SEARCH(SUBSTITUTE(UPPER($K205)," ",""),'DM_DanToc'!$C$2:$C$78)),1)),"Không tìm thấy"))</f>
        <v/>
      </c>
      <c r="W205" s="5">
        <f>IF($Q205="","",IFERROR(INDEX('DM_TinhThanh'!$B$2:$B$35,AGGREGATE(15,6,ROW('DM_TinhThanh'!$B$2:$B$35)-ROW('DM_TinhThanh'!$B$2)+1/ISNUMBER(SEARCH(SUBSTITUTE(UPPER($Q205)," ",""),'DM_TinhThanh'!$C$2:$C$35)),1)),"Không tìm thấy"))</f>
        <v/>
      </c>
      <c r="Y205" s="5">
        <f>IF($R205="","",IFERROR(INDEX('DM_XaPhuong'!$B$2:$B$169,AGGREGATE(15,6,ROW('DM_XaPhuong'!$B$2:$B$169)-ROW('DM_XaPhuong'!$B$2)+1/ISNUMBER(SEARCH(SUBSTITUTE(UPPER($R205)," ",""),'DM_XaPhuong'!$C$2:$C$169)),1)),"Không tìm thấy"))</f>
        <v/>
      </c>
      <c r="AB205" s="5">
        <f>IF($T205="","",IFERROR(INDEX('DM_NgheNghiep'!$B$2:$B$11,AGGREGATE(15,6,ROW('DM_NgheNghiep'!$B$2:$B$11)-ROW('DM_NgheNghiep'!$B$2)+1/ISNUMBER(SEARCH(SUBSTITUTE(UPPER($T205)," ",""),'DM_NgheNghiep'!$C$2:$C$11)),1)),"Không tìm thấy"))</f>
        <v/>
      </c>
      <c r="AD205" s="5">
        <f>IF($U205="","",IFERROR(INDEX('DM_NoiCongTac'!$B$2:$B$11,AGGREGATE(15,6,ROW('DM_NoiCongTac'!$B$2:$B$11)-ROW('DM_NoiCongTac'!$B$2)+1/ISNUMBER(SEARCH(SUBSTITUTE(UPPER($U205)," ",""),'DM_NoiCongTac'!$C$2:$C$11)),1)),"Không tìm thấy"))</f>
        <v/>
      </c>
      <c r="AF205" s="5">
        <f>IF($V205="","",IFERROR(INDEX('DM_XaPhuong'!$B$2:$B$169,AGGREGATE(15,6,ROW('DM_XaPhuong'!$B$2:$B$169)-ROW('DM_XaPhuong'!$B$2)+1/ISNUMBER(SEARCH(SUBSTITUTE(UPPER($V205)," ",""),'DM_XaPhuong'!$C$2:$C$169)),1)),"Không tìm thấy"))</f>
        <v/>
      </c>
    </row>
    <row r="206">
      <c r="C206" s="5">
        <f>IF($B206="","",IFERROR(INDEX('DM_DoiTuong'!$B$2:$B$19,AGGREGATE(15,6,ROW('DM_DoiTuong'!$B$2:$B$19)-ROW('DM_DoiTuong'!$B$2)+1/ISNUMBER(SEARCH(SUBSTITUTE(UPPER($B206)," ",""),'DM_DoiTuong'!$C$2:$C$19)),1)),"Không tìm thấy"))</f>
        <v/>
      </c>
      <c r="E206" s="5">
        <f>IF($C206="","",IFERROR(INDEX('DM_DiaDiemKham'!$B$2:$B$6,AGGREGATE(15,6,ROW('DM_DiaDiemKham'!$B$2:$B$6)-ROW('DM_DiaDiemKham'!$B$2)+1/ISNUMBER(SEARCH(SUBSTITUTE(UPPER($C206)," ",""),'DM_DiaDiemKham'!$C$2:$C$6)),1)),"Không tìm thấy"))</f>
        <v/>
      </c>
      <c r="G206" s="5">
        <f>IF($D206="","",IFERROR(INDEX('DM_HinhThucChiTra'!$B$2:$B$5,AGGREGATE(15,6,ROW('DM_HinhThucChiTra'!$B$2:$B$5)-ROW('DM_HinhThucChiTra'!$B$2)+1/ISNUMBER(SEARCH(SUBSTITUTE(UPPER($D206)," ",""),'DM_HinhThucChiTra'!$C$2:$C$5)),1)),"Không tìm thấy"))</f>
        <v/>
      </c>
      <c r="I206" s="5">
        <f>IF($E206="","",IFERROR(INDEX('DM_HinhThucKham'!$B$2:$B$3,AGGREGATE(15,6,ROW('DM_HinhThucKham'!$B$2:$B$3)-ROW('DM_HinhThucKham'!$B$2)+1/ISNUMBER(SEARCH(SUBSTITUTE(UPPER($E206)," ",""),'DM_HinhThucKham'!$C$2:$C$3)),1)),"Không tìm thấy"))</f>
        <v/>
      </c>
      <c r="P206" s="5">
        <f>IF($K206="","",IFERROR(INDEX('DM_DanToc'!$B$2:$B$78,AGGREGATE(15,6,ROW('DM_DanToc'!$B$2:$B$78)-ROW('DM_DanToc'!$B$2)+1/ISNUMBER(SEARCH(SUBSTITUTE(UPPER($K206)," ",""),'DM_DanToc'!$C$2:$C$78)),1)),"Không tìm thấy"))</f>
        <v/>
      </c>
      <c r="W206" s="5">
        <f>IF($Q206="","",IFERROR(INDEX('DM_TinhThanh'!$B$2:$B$35,AGGREGATE(15,6,ROW('DM_TinhThanh'!$B$2:$B$35)-ROW('DM_TinhThanh'!$B$2)+1/ISNUMBER(SEARCH(SUBSTITUTE(UPPER($Q206)," ",""),'DM_TinhThanh'!$C$2:$C$35)),1)),"Không tìm thấy"))</f>
        <v/>
      </c>
      <c r="Y206" s="5">
        <f>IF($R206="","",IFERROR(INDEX('DM_XaPhuong'!$B$2:$B$169,AGGREGATE(15,6,ROW('DM_XaPhuong'!$B$2:$B$169)-ROW('DM_XaPhuong'!$B$2)+1/ISNUMBER(SEARCH(SUBSTITUTE(UPPER($R206)," ",""),'DM_XaPhuong'!$C$2:$C$169)),1)),"Không tìm thấy"))</f>
        <v/>
      </c>
      <c r="AB206" s="5">
        <f>IF($T206="","",IFERROR(INDEX('DM_NgheNghiep'!$B$2:$B$11,AGGREGATE(15,6,ROW('DM_NgheNghiep'!$B$2:$B$11)-ROW('DM_NgheNghiep'!$B$2)+1/ISNUMBER(SEARCH(SUBSTITUTE(UPPER($T206)," ",""),'DM_NgheNghiep'!$C$2:$C$11)),1)),"Không tìm thấy"))</f>
        <v/>
      </c>
      <c r="AD206" s="5">
        <f>IF($U206="","",IFERROR(INDEX('DM_NoiCongTac'!$B$2:$B$11,AGGREGATE(15,6,ROW('DM_NoiCongTac'!$B$2:$B$11)-ROW('DM_NoiCongTac'!$B$2)+1/ISNUMBER(SEARCH(SUBSTITUTE(UPPER($U206)," ",""),'DM_NoiCongTac'!$C$2:$C$11)),1)),"Không tìm thấy"))</f>
        <v/>
      </c>
      <c r="AF206" s="5">
        <f>IF($V206="","",IFERROR(INDEX('DM_XaPhuong'!$B$2:$B$169,AGGREGATE(15,6,ROW('DM_XaPhuong'!$B$2:$B$169)-ROW('DM_XaPhuong'!$B$2)+1/ISNUMBER(SEARCH(SUBSTITUTE(UPPER($V206)," ",""),'DM_XaPhuong'!$C$2:$C$169)),1)),"Không tìm thấy"))</f>
        <v/>
      </c>
    </row>
    <row r="207">
      <c r="C207" s="5">
        <f>IF($B207="","",IFERROR(INDEX('DM_DoiTuong'!$B$2:$B$19,AGGREGATE(15,6,ROW('DM_DoiTuong'!$B$2:$B$19)-ROW('DM_DoiTuong'!$B$2)+1/ISNUMBER(SEARCH(SUBSTITUTE(UPPER($B207)," ",""),'DM_DoiTuong'!$C$2:$C$19)),1)),"Không tìm thấy"))</f>
        <v/>
      </c>
      <c r="E207" s="5">
        <f>IF($C207="","",IFERROR(INDEX('DM_DiaDiemKham'!$B$2:$B$6,AGGREGATE(15,6,ROW('DM_DiaDiemKham'!$B$2:$B$6)-ROW('DM_DiaDiemKham'!$B$2)+1/ISNUMBER(SEARCH(SUBSTITUTE(UPPER($C207)," ",""),'DM_DiaDiemKham'!$C$2:$C$6)),1)),"Không tìm thấy"))</f>
        <v/>
      </c>
      <c r="G207" s="5">
        <f>IF($D207="","",IFERROR(INDEX('DM_HinhThucChiTra'!$B$2:$B$5,AGGREGATE(15,6,ROW('DM_HinhThucChiTra'!$B$2:$B$5)-ROW('DM_HinhThucChiTra'!$B$2)+1/ISNUMBER(SEARCH(SUBSTITUTE(UPPER($D207)," ",""),'DM_HinhThucChiTra'!$C$2:$C$5)),1)),"Không tìm thấy"))</f>
        <v/>
      </c>
      <c r="I207" s="5">
        <f>IF($E207="","",IFERROR(INDEX('DM_HinhThucKham'!$B$2:$B$3,AGGREGATE(15,6,ROW('DM_HinhThucKham'!$B$2:$B$3)-ROW('DM_HinhThucKham'!$B$2)+1/ISNUMBER(SEARCH(SUBSTITUTE(UPPER($E207)," ",""),'DM_HinhThucKham'!$C$2:$C$3)),1)),"Không tìm thấy"))</f>
        <v/>
      </c>
      <c r="P207" s="5">
        <f>IF($K207="","",IFERROR(INDEX('DM_DanToc'!$B$2:$B$78,AGGREGATE(15,6,ROW('DM_DanToc'!$B$2:$B$78)-ROW('DM_DanToc'!$B$2)+1/ISNUMBER(SEARCH(SUBSTITUTE(UPPER($K207)," ",""),'DM_DanToc'!$C$2:$C$78)),1)),"Không tìm thấy"))</f>
        <v/>
      </c>
      <c r="W207" s="5">
        <f>IF($Q207="","",IFERROR(INDEX('DM_TinhThanh'!$B$2:$B$35,AGGREGATE(15,6,ROW('DM_TinhThanh'!$B$2:$B$35)-ROW('DM_TinhThanh'!$B$2)+1/ISNUMBER(SEARCH(SUBSTITUTE(UPPER($Q207)," ",""),'DM_TinhThanh'!$C$2:$C$35)),1)),"Không tìm thấy"))</f>
        <v/>
      </c>
      <c r="Y207" s="5">
        <f>IF($R207="","",IFERROR(INDEX('DM_XaPhuong'!$B$2:$B$169,AGGREGATE(15,6,ROW('DM_XaPhuong'!$B$2:$B$169)-ROW('DM_XaPhuong'!$B$2)+1/ISNUMBER(SEARCH(SUBSTITUTE(UPPER($R207)," ",""),'DM_XaPhuong'!$C$2:$C$169)),1)),"Không tìm thấy"))</f>
        <v/>
      </c>
      <c r="AB207" s="5">
        <f>IF($T207="","",IFERROR(INDEX('DM_NgheNghiep'!$B$2:$B$11,AGGREGATE(15,6,ROW('DM_NgheNghiep'!$B$2:$B$11)-ROW('DM_NgheNghiep'!$B$2)+1/ISNUMBER(SEARCH(SUBSTITUTE(UPPER($T207)," ",""),'DM_NgheNghiep'!$C$2:$C$11)),1)),"Không tìm thấy"))</f>
        <v/>
      </c>
      <c r="AD207" s="5">
        <f>IF($U207="","",IFERROR(INDEX('DM_NoiCongTac'!$B$2:$B$11,AGGREGATE(15,6,ROW('DM_NoiCongTac'!$B$2:$B$11)-ROW('DM_NoiCongTac'!$B$2)+1/ISNUMBER(SEARCH(SUBSTITUTE(UPPER($U207)," ",""),'DM_NoiCongTac'!$C$2:$C$11)),1)),"Không tìm thấy"))</f>
        <v/>
      </c>
      <c r="AF207" s="5">
        <f>IF($V207="","",IFERROR(INDEX('DM_XaPhuong'!$B$2:$B$169,AGGREGATE(15,6,ROW('DM_XaPhuong'!$B$2:$B$169)-ROW('DM_XaPhuong'!$B$2)+1/ISNUMBER(SEARCH(SUBSTITUTE(UPPER($V207)," ",""),'DM_XaPhuong'!$C$2:$C$169)),1)),"Không tìm thấy"))</f>
        <v/>
      </c>
    </row>
    <row r="208">
      <c r="C208" s="5">
        <f>IF($B208="","",IFERROR(INDEX('DM_DoiTuong'!$B$2:$B$19,AGGREGATE(15,6,ROW('DM_DoiTuong'!$B$2:$B$19)-ROW('DM_DoiTuong'!$B$2)+1/ISNUMBER(SEARCH(SUBSTITUTE(UPPER($B208)," ",""),'DM_DoiTuong'!$C$2:$C$19)),1)),"Không tìm thấy"))</f>
        <v/>
      </c>
      <c r="E208" s="5">
        <f>IF($C208="","",IFERROR(INDEX('DM_DiaDiemKham'!$B$2:$B$6,AGGREGATE(15,6,ROW('DM_DiaDiemKham'!$B$2:$B$6)-ROW('DM_DiaDiemKham'!$B$2)+1/ISNUMBER(SEARCH(SUBSTITUTE(UPPER($C208)," ",""),'DM_DiaDiemKham'!$C$2:$C$6)),1)),"Không tìm thấy"))</f>
        <v/>
      </c>
      <c r="G208" s="5">
        <f>IF($D208="","",IFERROR(INDEX('DM_HinhThucChiTra'!$B$2:$B$5,AGGREGATE(15,6,ROW('DM_HinhThucChiTra'!$B$2:$B$5)-ROW('DM_HinhThucChiTra'!$B$2)+1/ISNUMBER(SEARCH(SUBSTITUTE(UPPER($D208)," ",""),'DM_HinhThucChiTra'!$C$2:$C$5)),1)),"Không tìm thấy"))</f>
        <v/>
      </c>
      <c r="I208" s="5">
        <f>IF($E208="","",IFERROR(INDEX('DM_HinhThucKham'!$B$2:$B$3,AGGREGATE(15,6,ROW('DM_HinhThucKham'!$B$2:$B$3)-ROW('DM_HinhThucKham'!$B$2)+1/ISNUMBER(SEARCH(SUBSTITUTE(UPPER($E208)," ",""),'DM_HinhThucKham'!$C$2:$C$3)),1)),"Không tìm thấy"))</f>
        <v/>
      </c>
      <c r="P208" s="5">
        <f>IF($K208="","",IFERROR(INDEX('DM_DanToc'!$B$2:$B$78,AGGREGATE(15,6,ROW('DM_DanToc'!$B$2:$B$78)-ROW('DM_DanToc'!$B$2)+1/ISNUMBER(SEARCH(SUBSTITUTE(UPPER($K208)," ",""),'DM_DanToc'!$C$2:$C$78)),1)),"Không tìm thấy"))</f>
        <v/>
      </c>
      <c r="W208" s="5">
        <f>IF($Q208="","",IFERROR(INDEX('DM_TinhThanh'!$B$2:$B$35,AGGREGATE(15,6,ROW('DM_TinhThanh'!$B$2:$B$35)-ROW('DM_TinhThanh'!$B$2)+1/ISNUMBER(SEARCH(SUBSTITUTE(UPPER($Q208)," ",""),'DM_TinhThanh'!$C$2:$C$35)),1)),"Không tìm thấy"))</f>
        <v/>
      </c>
      <c r="Y208" s="5">
        <f>IF($R208="","",IFERROR(INDEX('DM_XaPhuong'!$B$2:$B$169,AGGREGATE(15,6,ROW('DM_XaPhuong'!$B$2:$B$169)-ROW('DM_XaPhuong'!$B$2)+1/ISNUMBER(SEARCH(SUBSTITUTE(UPPER($R208)," ",""),'DM_XaPhuong'!$C$2:$C$169)),1)),"Không tìm thấy"))</f>
        <v/>
      </c>
      <c r="AB208" s="5">
        <f>IF($T208="","",IFERROR(INDEX('DM_NgheNghiep'!$B$2:$B$11,AGGREGATE(15,6,ROW('DM_NgheNghiep'!$B$2:$B$11)-ROW('DM_NgheNghiep'!$B$2)+1/ISNUMBER(SEARCH(SUBSTITUTE(UPPER($T208)," ",""),'DM_NgheNghiep'!$C$2:$C$11)),1)),"Không tìm thấy"))</f>
        <v/>
      </c>
      <c r="AD208" s="5">
        <f>IF($U208="","",IFERROR(INDEX('DM_NoiCongTac'!$B$2:$B$11,AGGREGATE(15,6,ROW('DM_NoiCongTac'!$B$2:$B$11)-ROW('DM_NoiCongTac'!$B$2)+1/ISNUMBER(SEARCH(SUBSTITUTE(UPPER($U208)," ",""),'DM_NoiCongTac'!$C$2:$C$11)),1)),"Không tìm thấy"))</f>
        <v/>
      </c>
      <c r="AF208" s="5">
        <f>IF($V208="","",IFERROR(INDEX('DM_XaPhuong'!$B$2:$B$169,AGGREGATE(15,6,ROW('DM_XaPhuong'!$B$2:$B$169)-ROW('DM_XaPhuong'!$B$2)+1/ISNUMBER(SEARCH(SUBSTITUTE(UPPER($V208)," ",""),'DM_XaPhuong'!$C$2:$C$169)),1)),"Không tìm thấy"))</f>
        <v/>
      </c>
    </row>
    <row r="209">
      <c r="C209" s="5">
        <f>IF($B209="","",IFERROR(INDEX('DM_DoiTuong'!$B$2:$B$19,AGGREGATE(15,6,ROW('DM_DoiTuong'!$B$2:$B$19)-ROW('DM_DoiTuong'!$B$2)+1/ISNUMBER(SEARCH(SUBSTITUTE(UPPER($B209)," ",""),'DM_DoiTuong'!$C$2:$C$19)),1)),"Không tìm thấy"))</f>
        <v/>
      </c>
      <c r="E209" s="5">
        <f>IF($C209="","",IFERROR(INDEX('DM_DiaDiemKham'!$B$2:$B$6,AGGREGATE(15,6,ROW('DM_DiaDiemKham'!$B$2:$B$6)-ROW('DM_DiaDiemKham'!$B$2)+1/ISNUMBER(SEARCH(SUBSTITUTE(UPPER($C209)," ",""),'DM_DiaDiemKham'!$C$2:$C$6)),1)),"Không tìm thấy"))</f>
        <v/>
      </c>
      <c r="G209" s="5">
        <f>IF($D209="","",IFERROR(INDEX('DM_HinhThucChiTra'!$B$2:$B$5,AGGREGATE(15,6,ROW('DM_HinhThucChiTra'!$B$2:$B$5)-ROW('DM_HinhThucChiTra'!$B$2)+1/ISNUMBER(SEARCH(SUBSTITUTE(UPPER($D209)," ",""),'DM_HinhThucChiTra'!$C$2:$C$5)),1)),"Không tìm thấy"))</f>
        <v/>
      </c>
      <c r="I209" s="5">
        <f>IF($E209="","",IFERROR(INDEX('DM_HinhThucKham'!$B$2:$B$3,AGGREGATE(15,6,ROW('DM_HinhThucKham'!$B$2:$B$3)-ROW('DM_HinhThucKham'!$B$2)+1/ISNUMBER(SEARCH(SUBSTITUTE(UPPER($E209)," ",""),'DM_HinhThucKham'!$C$2:$C$3)),1)),"Không tìm thấy"))</f>
        <v/>
      </c>
      <c r="P209" s="5">
        <f>IF($K209="","",IFERROR(INDEX('DM_DanToc'!$B$2:$B$78,AGGREGATE(15,6,ROW('DM_DanToc'!$B$2:$B$78)-ROW('DM_DanToc'!$B$2)+1/ISNUMBER(SEARCH(SUBSTITUTE(UPPER($K209)," ",""),'DM_DanToc'!$C$2:$C$78)),1)),"Không tìm thấy"))</f>
        <v/>
      </c>
      <c r="W209" s="5">
        <f>IF($Q209="","",IFERROR(INDEX('DM_TinhThanh'!$B$2:$B$35,AGGREGATE(15,6,ROW('DM_TinhThanh'!$B$2:$B$35)-ROW('DM_TinhThanh'!$B$2)+1/ISNUMBER(SEARCH(SUBSTITUTE(UPPER($Q209)," ",""),'DM_TinhThanh'!$C$2:$C$35)),1)),"Không tìm thấy"))</f>
        <v/>
      </c>
      <c r="Y209" s="5">
        <f>IF($R209="","",IFERROR(INDEX('DM_XaPhuong'!$B$2:$B$169,AGGREGATE(15,6,ROW('DM_XaPhuong'!$B$2:$B$169)-ROW('DM_XaPhuong'!$B$2)+1/ISNUMBER(SEARCH(SUBSTITUTE(UPPER($R209)," ",""),'DM_XaPhuong'!$C$2:$C$169)),1)),"Không tìm thấy"))</f>
        <v/>
      </c>
      <c r="AB209" s="5">
        <f>IF($T209="","",IFERROR(INDEX('DM_NgheNghiep'!$B$2:$B$11,AGGREGATE(15,6,ROW('DM_NgheNghiep'!$B$2:$B$11)-ROW('DM_NgheNghiep'!$B$2)+1/ISNUMBER(SEARCH(SUBSTITUTE(UPPER($T209)," ",""),'DM_NgheNghiep'!$C$2:$C$11)),1)),"Không tìm thấy"))</f>
        <v/>
      </c>
      <c r="AD209" s="5">
        <f>IF($U209="","",IFERROR(INDEX('DM_NoiCongTac'!$B$2:$B$11,AGGREGATE(15,6,ROW('DM_NoiCongTac'!$B$2:$B$11)-ROW('DM_NoiCongTac'!$B$2)+1/ISNUMBER(SEARCH(SUBSTITUTE(UPPER($U209)," ",""),'DM_NoiCongTac'!$C$2:$C$11)),1)),"Không tìm thấy"))</f>
        <v/>
      </c>
      <c r="AF209" s="5">
        <f>IF($V209="","",IFERROR(INDEX('DM_XaPhuong'!$B$2:$B$169,AGGREGATE(15,6,ROW('DM_XaPhuong'!$B$2:$B$169)-ROW('DM_XaPhuong'!$B$2)+1/ISNUMBER(SEARCH(SUBSTITUTE(UPPER($V209)," ",""),'DM_XaPhuong'!$C$2:$C$169)),1)),"Không tìm thấy"))</f>
        <v/>
      </c>
    </row>
    <row r="210">
      <c r="C210" s="5">
        <f>IF($B210="","",IFERROR(INDEX('DM_DoiTuong'!$B$2:$B$19,AGGREGATE(15,6,ROW('DM_DoiTuong'!$B$2:$B$19)-ROW('DM_DoiTuong'!$B$2)+1/ISNUMBER(SEARCH(SUBSTITUTE(UPPER($B210)," ",""),'DM_DoiTuong'!$C$2:$C$19)),1)),"Không tìm thấy"))</f>
        <v/>
      </c>
      <c r="E210" s="5">
        <f>IF($C210="","",IFERROR(INDEX('DM_DiaDiemKham'!$B$2:$B$6,AGGREGATE(15,6,ROW('DM_DiaDiemKham'!$B$2:$B$6)-ROW('DM_DiaDiemKham'!$B$2)+1/ISNUMBER(SEARCH(SUBSTITUTE(UPPER($C210)," ",""),'DM_DiaDiemKham'!$C$2:$C$6)),1)),"Không tìm thấy"))</f>
        <v/>
      </c>
      <c r="G210" s="5">
        <f>IF($D210="","",IFERROR(INDEX('DM_HinhThucChiTra'!$B$2:$B$5,AGGREGATE(15,6,ROW('DM_HinhThucChiTra'!$B$2:$B$5)-ROW('DM_HinhThucChiTra'!$B$2)+1/ISNUMBER(SEARCH(SUBSTITUTE(UPPER($D210)," ",""),'DM_HinhThucChiTra'!$C$2:$C$5)),1)),"Không tìm thấy"))</f>
        <v/>
      </c>
      <c r="I210" s="5">
        <f>IF($E210="","",IFERROR(INDEX('DM_HinhThucKham'!$B$2:$B$3,AGGREGATE(15,6,ROW('DM_HinhThucKham'!$B$2:$B$3)-ROW('DM_HinhThucKham'!$B$2)+1/ISNUMBER(SEARCH(SUBSTITUTE(UPPER($E210)," ",""),'DM_HinhThucKham'!$C$2:$C$3)),1)),"Không tìm thấy"))</f>
        <v/>
      </c>
      <c r="P210" s="5">
        <f>IF($K210="","",IFERROR(INDEX('DM_DanToc'!$B$2:$B$78,AGGREGATE(15,6,ROW('DM_DanToc'!$B$2:$B$78)-ROW('DM_DanToc'!$B$2)+1/ISNUMBER(SEARCH(SUBSTITUTE(UPPER($K210)," ",""),'DM_DanToc'!$C$2:$C$78)),1)),"Không tìm thấy"))</f>
        <v/>
      </c>
      <c r="W210" s="5">
        <f>IF($Q210="","",IFERROR(INDEX('DM_TinhThanh'!$B$2:$B$35,AGGREGATE(15,6,ROW('DM_TinhThanh'!$B$2:$B$35)-ROW('DM_TinhThanh'!$B$2)+1/ISNUMBER(SEARCH(SUBSTITUTE(UPPER($Q210)," ",""),'DM_TinhThanh'!$C$2:$C$35)),1)),"Không tìm thấy"))</f>
        <v/>
      </c>
      <c r="Y210" s="5">
        <f>IF($R210="","",IFERROR(INDEX('DM_XaPhuong'!$B$2:$B$169,AGGREGATE(15,6,ROW('DM_XaPhuong'!$B$2:$B$169)-ROW('DM_XaPhuong'!$B$2)+1/ISNUMBER(SEARCH(SUBSTITUTE(UPPER($R210)," ",""),'DM_XaPhuong'!$C$2:$C$169)),1)),"Không tìm thấy"))</f>
        <v/>
      </c>
      <c r="AB210" s="5">
        <f>IF($T210="","",IFERROR(INDEX('DM_NgheNghiep'!$B$2:$B$11,AGGREGATE(15,6,ROW('DM_NgheNghiep'!$B$2:$B$11)-ROW('DM_NgheNghiep'!$B$2)+1/ISNUMBER(SEARCH(SUBSTITUTE(UPPER($T210)," ",""),'DM_NgheNghiep'!$C$2:$C$11)),1)),"Không tìm thấy"))</f>
        <v/>
      </c>
      <c r="AD210" s="5">
        <f>IF($U210="","",IFERROR(INDEX('DM_NoiCongTac'!$B$2:$B$11,AGGREGATE(15,6,ROW('DM_NoiCongTac'!$B$2:$B$11)-ROW('DM_NoiCongTac'!$B$2)+1/ISNUMBER(SEARCH(SUBSTITUTE(UPPER($U210)," ",""),'DM_NoiCongTac'!$C$2:$C$11)),1)),"Không tìm thấy"))</f>
        <v/>
      </c>
      <c r="AF210" s="5">
        <f>IF($V210="","",IFERROR(INDEX('DM_XaPhuong'!$B$2:$B$169,AGGREGATE(15,6,ROW('DM_XaPhuong'!$B$2:$B$169)-ROW('DM_XaPhuong'!$B$2)+1/ISNUMBER(SEARCH(SUBSTITUTE(UPPER($V210)," ",""),'DM_XaPhuong'!$C$2:$C$169)),1)),"Không tìm thấy"))</f>
        <v/>
      </c>
    </row>
    <row r="211">
      <c r="C211" s="5">
        <f>IF($B211="","",IFERROR(INDEX('DM_DoiTuong'!$B$2:$B$19,AGGREGATE(15,6,ROW('DM_DoiTuong'!$B$2:$B$19)-ROW('DM_DoiTuong'!$B$2)+1/ISNUMBER(SEARCH(SUBSTITUTE(UPPER($B211)," ",""),'DM_DoiTuong'!$C$2:$C$19)),1)),"Không tìm thấy"))</f>
        <v/>
      </c>
      <c r="E211" s="5">
        <f>IF($C211="","",IFERROR(INDEX('DM_DiaDiemKham'!$B$2:$B$6,AGGREGATE(15,6,ROW('DM_DiaDiemKham'!$B$2:$B$6)-ROW('DM_DiaDiemKham'!$B$2)+1/ISNUMBER(SEARCH(SUBSTITUTE(UPPER($C211)," ",""),'DM_DiaDiemKham'!$C$2:$C$6)),1)),"Không tìm thấy"))</f>
        <v/>
      </c>
      <c r="G211" s="5">
        <f>IF($D211="","",IFERROR(INDEX('DM_HinhThucChiTra'!$B$2:$B$5,AGGREGATE(15,6,ROW('DM_HinhThucChiTra'!$B$2:$B$5)-ROW('DM_HinhThucChiTra'!$B$2)+1/ISNUMBER(SEARCH(SUBSTITUTE(UPPER($D211)," ",""),'DM_HinhThucChiTra'!$C$2:$C$5)),1)),"Không tìm thấy"))</f>
        <v/>
      </c>
      <c r="I211" s="5">
        <f>IF($E211="","",IFERROR(INDEX('DM_HinhThucKham'!$B$2:$B$3,AGGREGATE(15,6,ROW('DM_HinhThucKham'!$B$2:$B$3)-ROW('DM_HinhThucKham'!$B$2)+1/ISNUMBER(SEARCH(SUBSTITUTE(UPPER($E211)," ",""),'DM_HinhThucKham'!$C$2:$C$3)),1)),"Không tìm thấy"))</f>
        <v/>
      </c>
      <c r="P211" s="5">
        <f>IF($K211="","",IFERROR(INDEX('DM_DanToc'!$B$2:$B$78,AGGREGATE(15,6,ROW('DM_DanToc'!$B$2:$B$78)-ROW('DM_DanToc'!$B$2)+1/ISNUMBER(SEARCH(SUBSTITUTE(UPPER($K211)," ",""),'DM_DanToc'!$C$2:$C$78)),1)),"Không tìm thấy"))</f>
        <v/>
      </c>
      <c r="W211" s="5">
        <f>IF($Q211="","",IFERROR(INDEX('DM_TinhThanh'!$B$2:$B$35,AGGREGATE(15,6,ROW('DM_TinhThanh'!$B$2:$B$35)-ROW('DM_TinhThanh'!$B$2)+1/ISNUMBER(SEARCH(SUBSTITUTE(UPPER($Q211)," ",""),'DM_TinhThanh'!$C$2:$C$35)),1)),"Không tìm thấy"))</f>
        <v/>
      </c>
      <c r="Y211" s="5">
        <f>IF($R211="","",IFERROR(INDEX('DM_XaPhuong'!$B$2:$B$169,AGGREGATE(15,6,ROW('DM_XaPhuong'!$B$2:$B$169)-ROW('DM_XaPhuong'!$B$2)+1/ISNUMBER(SEARCH(SUBSTITUTE(UPPER($R211)," ",""),'DM_XaPhuong'!$C$2:$C$169)),1)),"Không tìm thấy"))</f>
        <v/>
      </c>
      <c r="AB211" s="5">
        <f>IF($T211="","",IFERROR(INDEX('DM_NgheNghiep'!$B$2:$B$11,AGGREGATE(15,6,ROW('DM_NgheNghiep'!$B$2:$B$11)-ROW('DM_NgheNghiep'!$B$2)+1/ISNUMBER(SEARCH(SUBSTITUTE(UPPER($T211)," ",""),'DM_NgheNghiep'!$C$2:$C$11)),1)),"Không tìm thấy"))</f>
        <v/>
      </c>
      <c r="AD211" s="5">
        <f>IF($U211="","",IFERROR(INDEX('DM_NoiCongTac'!$B$2:$B$11,AGGREGATE(15,6,ROW('DM_NoiCongTac'!$B$2:$B$11)-ROW('DM_NoiCongTac'!$B$2)+1/ISNUMBER(SEARCH(SUBSTITUTE(UPPER($U211)," ",""),'DM_NoiCongTac'!$C$2:$C$11)),1)),"Không tìm thấy"))</f>
        <v/>
      </c>
      <c r="AF211" s="5">
        <f>IF($V211="","",IFERROR(INDEX('DM_XaPhuong'!$B$2:$B$169,AGGREGATE(15,6,ROW('DM_XaPhuong'!$B$2:$B$169)-ROW('DM_XaPhuong'!$B$2)+1/ISNUMBER(SEARCH(SUBSTITUTE(UPPER($V211)," ",""),'DM_XaPhuong'!$C$2:$C$169)),1)),"Không tìm thấy"))</f>
        <v/>
      </c>
    </row>
    <row r="212">
      <c r="C212" s="5">
        <f>IF($B212="","",IFERROR(INDEX('DM_DoiTuong'!$B$2:$B$19,AGGREGATE(15,6,ROW('DM_DoiTuong'!$B$2:$B$19)-ROW('DM_DoiTuong'!$B$2)+1/ISNUMBER(SEARCH(SUBSTITUTE(UPPER($B212)," ",""),'DM_DoiTuong'!$C$2:$C$19)),1)),"Không tìm thấy"))</f>
        <v/>
      </c>
      <c r="E212" s="5">
        <f>IF($C212="","",IFERROR(INDEX('DM_DiaDiemKham'!$B$2:$B$6,AGGREGATE(15,6,ROW('DM_DiaDiemKham'!$B$2:$B$6)-ROW('DM_DiaDiemKham'!$B$2)+1/ISNUMBER(SEARCH(SUBSTITUTE(UPPER($C212)," ",""),'DM_DiaDiemKham'!$C$2:$C$6)),1)),"Không tìm thấy"))</f>
        <v/>
      </c>
      <c r="G212" s="5">
        <f>IF($D212="","",IFERROR(INDEX('DM_HinhThucChiTra'!$B$2:$B$5,AGGREGATE(15,6,ROW('DM_HinhThucChiTra'!$B$2:$B$5)-ROW('DM_HinhThucChiTra'!$B$2)+1/ISNUMBER(SEARCH(SUBSTITUTE(UPPER($D212)," ",""),'DM_HinhThucChiTra'!$C$2:$C$5)),1)),"Không tìm thấy"))</f>
        <v/>
      </c>
      <c r="I212" s="5">
        <f>IF($E212="","",IFERROR(INDEX('DM_HinhThucKham'!$B$2:$B$3,AGGREGATE(15,6,ROW('DM_HinhThucKham'!$B$2:$B$3)-ROW('DM_HinhThucKham'!$B$2)+1/ISNUMBER(SEARCH(SUBSTITUTE(UPPER($E212)," ",""),'DM_HinhThucKham'!$C$2:$C$3)),1)),"Không tìm thấy"))</f>
        <v/>
      </c>
      <c r="P212" s="5">
        <f>IF($K212="","",IFERROR(INDEX('DM_DanToc'!$B$2:$B$78,AGGREGATE(15,6,ROW('DM_DanToc'!$B$2:$B$78)-ROW('DM_DanToc'!$B$2)+1/ISNUMBER(SEARCH(SUBSTITUTE(UPPER($K212)," ",""),'DM_DanToc'!$C$2:$C$78)),1)),"Không tìm thấy"))</f>
        <v/>
      </c>
      <c r="W212" s="5">
        <f>IF($Q212="","",IFERROR(INDEX('DM_TinhThanh'!$B$2:$B$35,AGGREGATE(15,6,ROW('DM_TinhThanh'!$B$2:$B$35)-ROW('DM_TinhThanh'!$B$2)+1/ISNUMBER(SEARCH(SUBSTITUTE(UPPER($Q212)," ",""),'DM_TinhThanh'!$C$2:$C$35)),1)),"Không tìm thấy"))</f>
        <v/>
      </c>
      <c r="Y212" s="5">
        <f>IF($R212="","",IFERROR(INDEX('DM_XaPhuong'!$B$2:$B$169,AGGREGATE(15,6,ROW('DM_XaPhuong'!$B$2:$B$169)-ROW('DM_XaPhuong'!$B$2)+1/ISNUMBER(SEARCH(SUBSTITUTE(UPPER($R212)," ",""),'DM_XaPhuong'!$C$2:$C$169)),1)),"Không tìm thấy"))</f>
        <v/>
      </c>
      <c r="AB212" s="5">
        <f>IF($T212="","",IFERROR(INDEX('DM_NgheNghiep'!$B$2:$B$11,AGGREGATE(15,6,ROW('DM_NgheNghiep'!$B$2:$B$11)-ROW('DM_NgheNghiep'!$B$2)+1/ISNUMBER(SEARCH(SUBSTITUTE(UPPER($T212)," ",""),'DM_NgheNghiep'!$C$2:$C$11)),1)),"Không tìm thấy"))</f>
        <v/>
      </c>
      <c r="AD212" s="5">
        <f>IF($U212="","",IFERROR(INDEX('DM_NoiCongTac'!$B$2:$B$11,AGGREGATE(15,6,ROW('DM_NoiCongTac'!$B$2:$B$11)-ROW('DM_NoiCongTac'!$B$2)+1/ISNUMBER(SEARCH(SUBSTITUTE(UPPER($U212)," ",""),'DM_NoiCongTac'!$C$2:$C$11)),1)),"Không tìm thấy"))</f>
        <v/>
      </c>
      <c r="AF212" s="5">
        <f>IF($V212="","",IFERROR(INDEX('DM_XaPhuong'!$B$2:$B$169,AGGREGATE(15,6,ROW('DM_XaPhuong'!$B$2:$B$169)-ROW('DM_XaPhuong'!$B$2)+1/ISNUMBER(SEARCH(SUBSTITUTE(UPPER($V212)," ",""),'DM_XaPhuong'!$C$2:$C$169)),1)),"Không tìm thấy"))</f>
        <v/>
      </c>
    </row>
    <row r="213">
      <c r="C213" s="5">
        <f>IF($B213="","",IFERROR(INDEX('DM_DoiTuong'!$B$2:$B$19,AGGREGATE(15,6,ROW('DM_DoiTuong'!$B$2:$B$19)-ROW('DM_DoiTuong'!$B$2)+1/ISNUMBER(SEARCH(SUBSTITUTE(UPPER($B213)," ",""),'DM_DoiTuong'!$C$2:$C$19)),1)),"Không tìm thấy"))</f>
        <v/>
      </c>
      <c r="E213" s="5">
        <f>IF($C213="","",IFERROR(INDEX('DM_DiaDiemKham'!$B$2:$B$6,AGGREGATE(15,6,ROW('DM_DiaDiemKham'!$B$2:$B$6)-ROW('DM_DiaDiemKham'!$B$2)+1/ISNUMBER(SEARCH(SUBSTITUTE(UPPER($C213)," ",""),'DM_DiaDiemKham'!$C$2:$C$6)),1)),"Không tìm thấy"))</f>
        <v/>
      </c>
      <c r="G213" s="5">
        <f>IF($D213="","",IFERROR(INDEX('DM_HinhThucChiTra'!$B$2:$B$5,AGGREGATE(15,6,ROW('DM_HinhThucChiTra'!$B$2:$B$5)-ROW('DM_HinhThucChiTra'!$B$2)+1/ISNUMBER(SEARCH(SUBSTITUTE(UPPER($D213)," ",""),'DM_HinhThucChiTra'!$C$2:$C$5)),1)),"Không tìm thấy"))</f>
        <v/>
      </c>
      <c r="I213" s="5">
        <f>IF($E213="","",IFERROR(INDEX('DM_HinhThucKham'!$B$2:$B$3,AGGREGATE(15,6,ROW('DM_HinhThucKham'!$B$2:$B$3)-ROW('DM_HinhThucKham'!$B$2)+1/ISNUMBER(SEARCH(SUBSTITUTE(UPPER($E213)," ",""),'DM_HinhThucKham'!$C$2:$C$3)),1)),"Không tìm thấy"))</f>
        <v/>
      </c>
      <c r="P213" s="5">
        <f>IF($K213="","",IFERROR(INDEX('DM_DanToc'!$B$2:$B$78,AGGREGATE(15,6,ROW('DM_DanToc'!$B$2:$B$78)-ROW('DM_DanToc'!$B$2)+1/ISNUMBER(SEARCH(SUBSTITUTE(UPPER($K213)," ",""),'DM_DanToc'!$C$2:$C$78)),1)),"Không tìm thấy"))</f>
        <v/>
      </c>
      <c r="W213" s="5">
        <f>IF($Q213="","",IFERROR(INDEX('DM_TinhThanh'!$B$2:$B$35,AGGREGATE(15,6,ROW('DM_TinhThanh'!$B$2:$B$35)-ROW('DM_TinhThanh'!$B$2)+1/ISNUMBER(SEARCH(SUBSTITUTE(UPPER($Q213)," ",""),'DM_TinhThanh'!$C$2:$C$35)),1)),"Không tìm thấy"))</f>
        <v/>
      </c>
      <c r="Y213" s="5">
        <f>IF($R213="","",IFERROR(INDEX('DM_XaPhuong'!$B$2:$B$169,AGGREGATE(15,6,ROW('DM_XaPhuong'!$B$2:$B$169)-ROW('DM_XaPhuong'!$B$2)+1/ISNUMBER(SEARCH(SUBSTITUTE(UPPER($R213)," ",""),'DM_XaPhuong'!$C$2:$C$169)),1)),"Không tìm thấy"))</f>
        <v/>
      </c>
      <c r="AB213" s="5">
        <f>IF($T213="","",IFERROR(INDEX('DM_NgheNghiep'!$B$2:$B$11,AGGREGATE(15,6,ROW('DM_NgheNghiep'!$B$2:$B$11)-ROW('DM_NgheNghiep'!$B$2)+1/ISNUMBER(SEARCH(SUBSTITUTE(UPPER($T213)," ",""),'DM_NgheNghiep'!$C$2:$C$11)),1)),"Không tìm thấy"))</f>
        <v/>
      </c>
      <c r="AD213" s="5">
        <f>IF($U213="","",IFERROR(INDEX('DM_NoiCongTac'!$B$2:$B$11,AGGREGATE(15,6,ROW('DM_NoiCongTac'!$B$2:$B$11)-ROW('DM_NoiCongTac'!$B$2)+1/ISNUMBER(SEARCH(SUBSTITUTE(UPPER($U213)," ",""),'DM_NoiCongTac'!$C$2:$C$11)),1)),"Không tìm thấy"))</f>
        <v/>
      </c>
      <c r="AF213" s="5">
        <f>IF($V213="","",IFERROR(INDEX('DM_XaPhuong'!$B$2:$B$169,AGGREGATE(15,6,ROW('DM_XaPhuong'!$B$2:$B$169)-ROW('DM_XaPhuong'!$B$2)+1/ISNUMBER(SEARCH(SUBSTITUTE(UPPER($V213)," ",""),'DM_XaPhuong'!$C$2:$C$169)),1)),"Không tìm thấy"))</f>
        <v/>
      </c>
    </row>
    <row r="214">
      <c r="C214" s="5">
        <f>IF($B214="","",IFERROR(INDEX('DM_DoiTuong'!$B$2:$B$19,AGGREGATE(15,6,ROW('DM_DoiTuong'!$B$2:$B$19)-ROW('DM_DoiTuong'!$B$2)+1/ISNUMBER(SEARCH(SUBSTITUTE(UPPER($B214)," ",""),'DM_DoiTuong'!$C$2:$C$19)),1)),"Không tìm thấy"))</f>
        <v/>
      </c>
      <c r="E214" s="5">
        <f>IF($C214="","",IFERROR(INDEX('DM_DiaDiemKham'!$B$2:$B$6,AGGREGATE(15,6,ROW('DM_DiaDiemKham'!$B$2:$B$6)-ROW('DM_DiaDiemKham'!$B$2)+1/ISNUMBER(SEARCH(SUBSTITUTE(UPPER($C214)," ",""),'DM_DiaDiemKham'!$C$2:$C$6)),1)),"Không tìm thấy"))</f>
        <v/>
      </c>
      <c r="G214" s="5">
        <f>IF($D214="","",IFERROR(INDEX('DM_HinhThucChiTra'!$B$2:$B$5,AGGREGATE(15,6,ROW('DM_HinhThucChiTra'!$B$2:$B$5)-ROW('DM_HinhThucChiTra'!$B$2)+1/ISNUMBER(SEARCH(SUBSTITUTE(UPPER($D214)," ",""),'DM_HinhThucChiTra'!$C$2:$C$5)),1)),"Không tìm thấy"))</f>
        <v/>
      </c>
      <c r="I214" s="5">
        <f>IF($E214="","",IFERROR(INDEX('DM_HinhThucKham'!$B$2:$B$3,AGGREGATE(15,6,ROW('DM_HinhThucKham'!$B$2:$B$3)-ROW('DM_HinhThucKham'!$B$2)+1/ISNUMBER(SEARCH(SUBSTITUTE(UPPER($E214)," ",""),'DM_HinhThucKham'!$C$2:$C$3)),1)),"Không tìm thấy"))</f>
        <v/>
      </c>
      <c r="P214" s="5">
        <f>IF($K214="","",IFERROR(INDEX('DM_DanToc'!$B$2:$B$78,AGGREGATE(15,6,ROW('DM_DanToc'!$B$2:$B$78)-ROW('DM_DanToc'!$B$2)+1/ISNUMBER(SEARCH(SUBSTITUTE(UPPER($K214)," ",""),'DM_DanToc'!$C$2:$C$78)),1)),"Không tìm thấy"))</f>
        <v/>
      </c>
      <c r="W214" s="5">
        <f>IF($Q214="","",IFERROR(INDEX('DM_TinhThanh'!$B$2:$B$35,AGGREGATE(15,6,ROW('DM_TinhThanh'!$B$2:$B$35)-ROW('DM_TinhThanh'!$B$2)+1/ISNUMBER(SEARCH(SUBSTITUTE(UPPER($Q214)," ",""),'DM_TinhThanh'!$C$2:$C$35)),1)),"Không tìm thấy"))</f>
        <v/>
      </c>
      <c r="Y214" s="5">
        <f>IF($R214="","",IFERROR(INDEX('DM_XaPhuong'!$B$2:$B$169,AGGREGATE(15,6,ROW('DM_XaPhuong'!$B$2:$B$169)-ROW('DM_XaPhuong'!$B$2)+1/ISNUMBER(SEARCH(SUBSTITUTE(UPPER($R214)," ",""),'DM_XaPhuong'!$C$2:$C$169)),1)),"Không tìm thấy"))</f>
        <v/>
      </c>
      <c r="AB214" s="5">
        <f>IF($T214="","",IFERROR(INDEX('DM_NgheNghiep'!$B$2:$B$11,AGGREGATE(15,6,ROW('DM_NgheNghiep'!$B$2:$B$11)-ROW('DM_NgheNghiep'!$B$2)+1/ISNUMBER(SEARCH(SUBSTITUTE(UPPER($T214)," ",""),'DM_NgheNghiep'!$C$2:$C$11)),1)),"Không tìm thấy"))</f>
        <v/>
      </c>
      <c r="AD214" s="5">
        <f>IF($U214="","",IFERROR(INDEX('DM_NoiCongTac'!$B$2:$B$11,AGGREGATE(15,6,ROW('DM_NoiCongTac'!$B$2:$B$11)-ROW('DM_NoiCongTac'!$B$2)+1/ISNUMBER(SEARCH(SUBSTITUTE(UPPER($U214)," ",""),'DM_NoiCongTac'!$C$2:$C$11)),1)),"Không tìm thấy"))</f>
        <v/>
      </c>
      <c r="AF214" s="5">
        <f>IF($V214="","",IFERROR(INDEX('DM_XaPhuong'!$B$2:$B$169,AGGREGATE(15,6,ROW('DM_XaPhuong'!$B$2:$B$169)-ROW('DM_XaPhuong'!$B$2)+1/ISNUMBER(SEARCH(SUBSTITUTE(UPPER($V214)," ",""),'DM_XaPhuong'!$C$2:$C$169)),1)),"Không tìm thấy"))</f>
        <v/>
      </c>
    </row>
    <row r="215">
      <c r="C215" s="5">
        <f>IF($B215="","",IFERROR(INDEX('DM_DoiTuong'!$B$2:$B$19,AGGREGATE(15,6,ROW('DM_DoiTuong'!$B$2:$B$19)-ROW('DM_DoiTuong'!$B$2)+1/ISNUMBER(SEARCH(SUBSTITUTE(UPPER($B215)," ",""),'DM_DoiTuong'!$C$2:$C$19)),1)),"Không tìm thấy"))</f>
        <v/>
      </c>
      <c r="E215" s="5">
        <f>IF($C215="","",IFERROR(INDEX('DM_DiaDiemKham'!$B$2:$B$6,AGGREGATE(15,6,ROW('DM_DiaDiemKham'!$B$2:$B$6)-ROW('DM_DiaDiemKham'!$B$2)+1/ISNUMBER(SEARCH(SUBSTITUTE(UPPER($C215)," ",""),'DM_DiaDiemKham'!$C$2:$C$6)),1)),"Không tìm thấy"))</f>
        <v/>
      </c>
      <c r="G215" s="5">
        <f>IF($D215="","",IFERROR(INDEX('DM_HinhThucChiTra'!$B$2:$B$5,AGGREGATE(15,6,ROW('DM_HinhThucChiTra'!$B$2:$B$5)-ROW('DM_HinhThucChiTra'!$B$2)+1/ISNUMBER(SEARCH(SUBSTITUTE(UPPER($D215)," ",""),'DM_HinhThucChiTra'!$C$2:$C$5)),1)),"Không tìm thấy"))</f>
        <v/>
      </c>
      <c r="I215" s="5">
        <f>IF($E215="","",IFERROR(INDEX('DM_HinhThucKham'!$B$2:$B$3,AGGREGATE(15,6,ROW('DM_HinhThucKham'!$B$2:$B$3)-ROW('DM_HinhThucKham'!$B$2)+1/ISNUMBER(SEARCH(SUBSTITUTE(UPPER($E215)," ",""),'DM_HinhThucKham'!$C$2:$C$3)),1)),"Không tìm thấy"))</f>
        <v/>
      </c>
      <c r="P215" s="5">
        <f>IF($K215="","",IFERROR(INDEX('DM_DanToc'!$B$2:$B$78,AGGREGATE(15,6,ROW('DM_DanToc'!$B$2:$B$78)-ROW('DM_DanToc'!$B$2)+1/ISNUMBER(SEARCH(SUBSTITUTE(UPPER($K215)," ",""),'DM_DanToc'!$C$2:$C$78)),1)),"Không tìm thấy"))</f>
        <v/>
      </c>
      <c r="W215" s="5">
        <f>IF($Q215="","",IFERROR(INDEX('DM_TinhThanh'!$B$2:$B$35,AGGREGATE(15,6,ROW('DM_TinhThanh'!$B$2:$B$35)-ROW('DM_TinhThanh'!$B$2)+1/ISNUMBER(SEARCH(SUBSTITUTE(UPPER($Q215)," ",""),'DM_TinhThanh'!$C$2:$C$35)),1)),"Không tìm thấy"))</f>
        <v/>
      </c>
      <c r="Y215" s="5">
        <f>IF($R215="","",IFERROR(INDEX('DM_XaPhuong'!$B$2:$B$169,AGGREGATE(15,6,ROW('DM_XaPhuong'!$B$2:$B$169)-ROW('DM_XaPhuong'!$B$2)+1/ISNUMBER(SEARCH(SUBSTITUTE(UPPER($R215)," ",""),'DM_XaPhuong'!$C$2:$C$169)),1)),"Không tìm thấy"))</f>
        <v/>
      </c>
      <c r="AB215" s="5">
        <f>IF($T215="","",IFERROR(INDEX('DM_NgheNghiep'!$B$2:$B$11,AGGREGATE(15,6,ROW('DM_NgheNghiep'!$B$2:$B$11)-ROW('DM_NgheNghiep'!$B$2)+1/ISNUMBER(SEARCH(SUBSTITUTE(UPPER($T215)," ",""),'DM_NgheNghiep'!$C$2:$C$11)),1)),"Không tìm thấy"))</f>
        <v/>
      </c>
      <c r="AD215" s="5">
        <f>IF($U215="","",IFERROR(INDEX('DM_NoiCongTac'!$B$2:$B$11,AGGREGATE(15,6,ROW('DM_NoiCongTac'!$B$2:$B$11)-ROW('DM_NoiCongTac'!$B$2)+1/ISNUMBER(SEARCH(SUBSTITUTE(UPPER($U215)," ",""),'DM_NoiCongTac'!$C$2:$C$11)),1)),"Không tìm thấy"))</f>
        <v/>
      </c>
      <c r="AF215" s="5">
        <f>IF($V215="","",IFERROR(INDEX('DM_XaPhuong'!$B$2:$B$169,AGGREGATE(15,6,ROW('DM_XaPhuong'!$B$2:$B$169)-ROW('DM_XaPhuong'!$B$2)+1/ISNUMBER(SEARCH(SUBSTITUTE(UPPER($V215)," ",""),'DM_XaPhuong'!$C$2:$C$169)),1)),"Không tìm thấy"))</f>
        <v/>
      </c>
    </row>
    <row r="216">
      <c r="C216" s="5">
        <f>IF($B216="","",IFERROR(INDEX('DM_DoiTuong'!$B$2:$B$19,AGGREGATE(15,6,ROW('DM_DoiTuong'!$B$2:$B$19)-ROW('DM_DoiTuong'!$B$2)+1/ISNUMBER(SEARCH(SUBSTITUTE(UPPER($B216)," ",""),'DM_DoiTuong'!$C$2:$C$19)),1)),"Không tìm thấy"))</f>
        <v/>
      </c>
      <c r="E216" s="5">
        <f>IF($C216="","",IFERROR(INDEX('DM_DiaDiemKham'!$B$2:$B$6,AGGREGATE(15,6,ROW('DM_DiaDiemKham'!$B$2:$B$6)-ROW('DM_DiaDiemKham'!$B$2)+1/ISNUMBER(SEARCH(SUBSTITUTE(UPPER($C216)," ",""),'DM_DiaDiemKham'!$C$2:$C$6)),1)),"Không tìm thấy"))</f>
        <v/>
      </c>
      <c r="G216" s="5">
        <f>IF($D216="","",IFERROR(INDEX('DM_HinhThucChiTra'!$B$2:$B$5,AGGREGATE(15,6,ROW('DM_HinhThucChiTra'!$B$2:$B$5)-ROW('DM_HinhThucChiTra'!$B$2)+1/ISNUMBER(SEARCH(SUBSTITUTE(UPPER($D216)," ",""),'DM_HinhThucChiTra'!$C$2:$C$5)),1)),"Không tìm thấy"))</f>
        <v/>
      </c>
      <c r="I216" s="5">
        <f>IF($E216="","",IFERROR(INDEX('DM_HinhThucKham'!$B$2:$B$3,AGGREGATE(15,6,ROW('DM_HinhThucKham'!$B$2:$B$3)-ROW('DM_HinhThucKham'!$B$2)+1/ISNUMBER(SEARCH(SUBSTITUTE(UPPER($E216)," ",""),'DM_HinhThucKham'!$C$2:$C$3)),1)),"Không tìm thấy"))</f>
        <v/>
      </c>
      <c r="P216" s="5">
        <f>IF($K216="","",IFERROR(INDEX('DM_DanToc'!$B$2:$B$78,AGGREGATE(15,6,ROW('DM_DanToc'!$B$2:$B$78)-ROW('DM_DanToc'!$B$2)+1/ISNUMBER(SEARCH(SUBSTITUTE(UPPER($K216)," ",""),'DM_DanToc'!$C$2:$C$78)),1)),"Không tìm thấy"))</f>
        <v/>
      </c>
      <c r="W216" s="5">
        <f>IF($Q216="","",IFERROR(INDEX('DM_TinhThanh'!$B$2:$B$35,AGGREGATE(15,6,ROW('DM_TinhThanh'!$B$2:$B$35)-ROW('DM_TinhThanh'!$B$2)+1/ISNUMBER(SEARCH(SUBSTITUTE(UPPER($Q216)," ",""),'DM_TinhThanh'!$C$2:$C$35)),1)),"Không tìm thấy"))</f>
        <v/>
      </c>
      <c r="Y216" s="5">
        <f>IF($R216="","",IFERROR(INDEX('DM_XaPhuong'!$B$2:$B$169,AGGREGATE(15,6,ROW('DM_XaPhuong'!$B$2:$B$169)-ROW('DM_XaPhuong'!$B$2)+1/ISNUMBER(SEARCH(SUBSTITUTE(UPPER($R216)," ",""),'DM_XaPhuong'!$C$2:$C$169)),1)),"Không tìm thấy"))</f>
        <v/>
      </c>
      <c r="AB216" s="5">
        <f>IF($T216="","",IFERROR(INDEX('DM_NgheNghiep'!$B$2:$B$11,AGGREGATE(15,6,ROW('DM_NgheNghiep'!$B$2:$B$11)-ROW('DM_NgheNghiep'!$B$2)+1/ISNUMBER(SEARCH(SUBSTITUTE(UPPER($T216)," ",""),'DM_NgheNghiep'!$C$2:$C$11)),1)),"Không tìm thấy"))</f>
        <v/>
      </c>
      <c r="AD216" s="5">
        <f>IF($U216="","",IFERROR(INDEX('DM_NoiCongTac'!$B$2:$B$11,AGGREGATE(15,6,ROW('DM_NoiCongTac'!$B$2:$B$11)-ROW('DM_NoiCongTac'!$B$2)+1/ISNUMBER(SEARCH(SUBSTITUTE(UPPER($U216)," ",""),'DM_NoiCongTac'!$C$2:$C$11)),1)),"Không tìm thấy"))</f>
        <v/>
      </c>
      <c r="AF216" s="5">
        <f>IF($V216="","",IFERROR(INDEX('DM_XaPhuong'!$B$2:$B$169,AGGREGATE(15,6,ROW('DM_XaPhuong'!$B$2:$B$169)-ROW('DM_XaPhuong'!$B$2)+1/ISNUMBER(SEARCH(SUBSTITUTE(UPPER($V216)," ",""),'DM_XaPhuong'!$C$2:$C$169)),1)),"Không tìm thấy"))</f>
        <v/>
      </c>
    </row>
    <row r="217">
      <c r="C217" s="5">
        <f>IF($B217="","",IFERROR(INDEX('DM_DoiTuong'!$B$2:$B$19,AGGREGATE(15,6,ROW('DM_DoiTuong'!$B$2:$B$19)-ROW('DM_DoiTuong'!$B$2)+1/ISNUMBER(SEARCH(SUBSTITUTE(UPPER($B217)," ",""),'DM_DoiTuong'!$C$2:$C$19)),1)),"Không tìm thấy"))</f>
        <v/>
      </c>
      <c r="E217" s="5">
        <f>IF($C217="","",IFERROR(INDEX('DM_DiaDiemKham'!$B$2:$B$6,AGGREGATE(15,6,ROW('DM_DiaDiemKham'!$B$2:$B$6)-ROW('DM_DiaDiemKham'!$B$2)+1/ISNUMBER(SEARCH(SUBSTITUTE(UPPER($C217)," ",""),'DM_DiaDiemKham'!$C$2:$C$6)),1)),"Không tìm thấy"))</f>
        <v/>
      </c>
      <c r="G217" s="5">
        <f>IF($D217="","",IFERROR(INDEX('DM_HinhThucChiTra'!$B$2:$B$5,AGGREGATE(15,6,ROW('DM_HinhThucChiTra'!$B$2:$B$5)-ROW('DM_HinhThucChiTra'!$B$2)+1/ISNUMBER(SEARCH(SUBSTITUTE(UPPER($D217)," ",""),'DM_HinhThucChiTra'!$C$2:$C$5)),1)),"Không tìm thấy"))</f>
        <v/>
      </c>
      <c r="I217" s="5">
        <f>IF($E217="","",IFERROR(INDEX('DM_HinhThucKham'!$B$2:$B$3,AGGREGATE(15,6,ROW('DM_HinhThucKham'!$B$2:$B$3)-ROW('DM_HinhThucKham'!$B$2)+1/ISNUMBER(SEARCH(SUBSTITUTE(UPPER($E217)," ",""),'DM_HinhThucKham'!$C$2:$C$3)),1)),"Không tìm thấy"))</f>
        <v/>
      </c>
      <c r="P217" s="5">
        <f>IF($K217="","",IFERROR(INDEX('DM_DanToc'!$B$2:$B$78,AGGREGATE(15,6,ROW('DM_DanToc'!$B$2:$B$78)-ROW('DM_DanToc'!$B$2)+1/ISNUMBER(SEARCH(SUBSTITUTE(UPPER($K217)," ",""),'DM_DanToc'!$C$2:$C$78)),1)),"Không tìm thấy"))</f>
        <v/>
      </c>
      <c r="W217" s="5">
        <f>IF($Q217="","",IFERROR(INDEX('DM_TinhThanh'!$B$2:$B$35,AGGREGATE(15,6,ROW('DM_TinhThanh'!$B$2:$B$35)-ROW('DM_TinhThanh'!$B$2)+1/ISNUMBER(SEARCH(SUBSTITUTE(UPPER($Q217)," ",""),'DM_TinhThanh'!$C$2:$C$35)),1)),"Không tìm thấy"))</f>
        <v/>
      </c>
      <c r="Y217" s="5">
        <f>IF($R217="","",IFERROR(INDEX('DM_XaPhuong'!$B$2:$B$169,AGGREGATE(15,6,ROW('DM_XaPhuong'!$B$2:$B$169)-ROW('DM_XaPhuong'!$B$2)+1/ISNUMBER(SEARCH(SUBSTITUTE(UPPER($R217)," ",""),'DM_XaPhuong'!$C$2:$C$169)),1)),"Không tìm thấy"))</f>
        <v/>
      </c>
      <c r="AB217" s="5">
        <f>IF($T217="","",IFERROR(INDEX('DM_NgheNghiep'!$B$2:$B$11,AGGREGATE(15,6,ROW('DM_NgheNghiep'!$B$2:$B$11)-ROW('DM_NgheNghiep'!$B$2)+1/ISNUMBER(SEARCH(SUBSTITUTE(UPPER($T217)," ",""),'DM_NgheNghiep'!$C$2:$C$11)),1)),"Không tìm thấy"))</f>
        <v/>
      </c>
      <c r="AD217" s="5">
        <f>IF($U217="","",IFERROR(INDEX('DM_NoiCongTac'!$B$2:$B$11,AGGREGATE(15,6,ROW('DM_NoiCongTac'!$B$2:$B$11)-ROW('DM_NoiCongTac'!$B$2)+1/ISNUMBER(SEARCH(SUBSTITUTE(UPPER($U217)," ",""),'DM_NoiCongTac'!$C$2:$C$11)),1)),"Không tìm thấy"))</f>
        <v/>
      </c>
      <c r="AF217" s="5">
        <f>IF($V217="","",IFERROR(INDEX('DM_XaPhuong'!$B$2:$B$169,AGGREGATE(15,6,ROW('DM_XaPhuong'!$B$2:$B$169)-ROW('DM_XaPhuong'!$B$2)+1/ISNUMBER(SEARCH(SUBSTITUTE(UPPER($V217)," ",""),'DM_XaPhuong'!$C$2:$C$169)),1)),"Không tìm thấy"))</f>
        <v/>
      </c>
    </row>
    <row r="218">
      <c r="C218" s="5">
        <f>IF($B218="","",IFERROR(INDEX('DM_DoiTuong'!$B$2:$B$19,AGGREGATE(15,6,ROW('DM_DoiTuong'!$B$2:$B$19)-ROW('DM_DoiTuong'!$B$2)+1/ISNUMBER(SEARCH(SUBSTITUTE(UPPER($B218)," ",""),'DM_DoiTuong'!$C$2:$C$19)),1)),"Không tìm thấy"))</f>
        <v/>
      </c>
      <c r="E218" s="5">
        <f>IF($C218="","",IFERROR(INDEX('DM_DiaDiemKham'!$B$2:$B$6,AGGREGATE(15,6,ROW('DM_DiaDiemKham'!$B$2:$B$6)-ROW('DM_DiaDiemKham'!$B$2)+1/ISNUMBER(SEARCH(SUBSTITUTE(UPPER($C218)," ",""),'DM_DiaDiemKham'!$C$2:$C$6)),1)),"Không tìm thấy"))</f>
        <v/>
      </c>
      <c r="G218" s="5">
        <f>IF($D218="","",IFERROR(INDEX('DM_HinhThucChiTra'!$B$2:$B$5,AGGREGATE(15,6,ROW('DM_HinhThucChiTra'!$B$2:$B$5)-ROW('DM_HinhThucChiTra'!$B$2)+1/ISNUMBER(SEARCH(SUBSTITUTE(UPPER($D218)," ",""),'DM_HinhThucChiTra'!$C$2:$C$5)),1)),"Không tìm thấy"))</f>
        <v/>
      </c>
      <c r="I218" s="5">
        <f>IF($E218="","",IFERROR(INDEX('DM_HinhThucKham'!$B$2:$B$3,AGGREGATE(15,6,ROW('DM_HinhThucKham'!$B$2:$B$3)-ROW('DM_HinhThucKham'!$B$2)+1/ISNUMBER(SEARCH(SUBSTITUTE(UPPER($E218)," ",""),'DM_HinhThucKham'!$C$2:$C$3)),1)),"Không tìm thấy"))</f>
        <v/>
      </c>
      <c r="P218" s="5">
        <f>IF($K218="","",IFERROR(INDEX('DM_DanToc'!$B$2:$B$78,AGGREGATE(15,6,ROW('DM_DanToc'!$B$2:$B$78)-ROW('DM_DanToc'!$B$2)+1/ISNUMBER(SEARCH(SUBSTITUTE(UPPER($K218)," ",""),'DM_DanToc'!$C$2:$C$78)),1)),"Không tìm thấy"))</f>
        <v/>
      </c>
      <c r="W218" s="5">
        <f>IF($Q218="","",IFERROR(INDEX('DM_TinhThanh'!$B$2:$B$35,AGGREGATE(15,6,ROW('DM_TinhThanh'!$B$2:$B$35)-ROW('DM_TinhThanh'!$B$2)+1/ISNUMBER(SEARCH(SUBSTITUTE(UPPER($Q218)," ",""),'DM_TinhThanh'!$C$2:$C$35)),1)),"Không tìm thấy"))</f>
        <v/>
      </c>
      <c r="Y218" s="5">
        <f>IF($R218="","",IFERROR(INDEX('DM_XaPhuong'!$B$2:$B$169,AGGREGATE(15,6,ROW('DM_XaPhuong'!$B$2:$B$169)-ROW('DM_XaPhuong'!$B$2)+1/ISNUMBER(SEARCH(SUBSTITUTE(UPPER($R218)," ",""),'DM_XaPhuong'!$C$2:$C$169)),1)),"Không tìm thấy"))</f>
        <v/>
      </c>
      <c r="AB218" s="5">
        <f>IF($T218="","",IFERROR(INDEX('DM_NgheNghiep'!$B$2:$B$11,AGGREGATE(15,6,ROW('DM_NgheNghiep'!$B$2:$B$11)-ROW('DM_NgheNghiep'!$B$2)+1/ISNUMBER(SEARCH(SUBSTITUTE(UPPER($T218)," ",""),'DM_NgheNghiep'!$C$2:$C$11)),1)),"Không tìm thấy"))</f>
        <v/>
      </c>
      <c r="AD218" s="5">
        <f>IF($U218="","",IFERROR(INDEX('DM_NoiCongTac'!$B$2:$B$11,AGGREGATE(15,6,ROW('DM_NoiCongTac'!$B$2:$B$11)-ROW('DM_NoiCongTac'!$B$2)+1/ISNUMBER(SEARCH(SUBSTITUTE(UPPER($U218)," ",""),'DM_NoiCongTac'!$C$2:$C$11)),1)),"Không tìm thấy"))</f>
        <v/>
      </c>
      <c r="AF218" s="5">
        <f>IF($V218="","",IFERROR(INDEX('DM_XaPhuong'!$B$2:$B$169,AGGREGATE(15,6,ROW('DM_XaPhuong'!$B$2:$B$169)-ROW('DM_XaPhuong'!$B$2)+1/ISNUMBER(SEARCH(SUBSTITUTE(UPPER($V218)," ",""),'DM_XaPhuong'!$C$2:$C$169)),1)),"Không tìm thấy"))</f>
        <v/>
      </c>
    </row>
    <row r="219">
      <c r="C219" s="5">
        <f>IF($B219="","",IFERROR(INDEX('DM_DoiTuong'!$B$2:$B$19,AGGREGATE(15,6,ROW('DM_DoiTuong'!$B$2:$B$19)-ROW('DM_DoiTuong'!$B$2)+1/ISNUMBER(SEARCH(SUBSTITUTE(UPPER($B219)," ",""),'DM_DoiTuong'!$C$2:$C$19)),1)),"Không tìm thấy"))</f>
        <v/>
      </c>
      <c r="E219" s="5">
        <f>IF($C219="","",IFERROR(INDEX('DM_DiaDiemKham'!$B$2:$B$6,AGGREGATE(15,6,ROW('DM_DiaDiemKham'!$B$2:$B$6)-ROW('DM_DiaDiemKham'!$B$2)+1/ISNUMBER(SEARCH(SUBSTITUTE(UPPER($C219)," ",""),'DM_DiaDiemKham'!$C$2:$C$6)),1)),"Không tìm thấy"))</f>
        <v/>
      </c>
      <c r="G219" s="5">
        <f>IF($D219="","",IFERROR(INDEX('DM_HinhThucChiTra'!$B$2:$B$5,AGGREGATE(15,6,ROW('DM_HinhThucChiTra'!$B$2:$B$5)-ROW('DM_HinhThucChiTra'!$B$2)+1/ISNUMBER(SEARCH(SUBSTITUTE(UPPER($D219)," ",""),'DM_HinhThucChiTra'!$C$2:$C$5)),1)),"Không tìm thấy"))</f>
        <v/>
      </c>
      <c r="I219" s="5">
        <f>IF($E219="","",IFERROR(INDEX('DM_HinhThucKham'!$B$2:$B$3,AGGREGATE(15,6,ROW('DM_HinhThucKham'!$B$2:$B$3)-ROW('DM_HinhThucKham'!$B$2)+1/ISNUMBER(SEARCH(SUBSTITUTE(UPPER($E219)," ",""),'DM_HinhThucKham'!$C$2:$C$3)),1)),"Không tìm thấy"))</f>
        <v/>
      </c>
      <c r="P219" s="5">
        <f>IF($K219="","",IFERROR(INDEX('DM_DanToc'!$B$2:$B$78,AGGREGATE(15,6,ROW('DM_DanToc'!$B$2:$B$78)-ROW('DM_DanToc'!$B$2)+1/ISNUMBER(SEARCH(SUBSTITUTE(UPPER($K219)," ",""),'DM_DanToc'!$C$2:$C$78)),1)),"Không tìm thấy"))</f>
        <v/>
      </c>
      <c r="W219" s="5">
        <f>IF($Q219="","",IFERROR(INDEX('DM_TinhThanh'!$B$2:$B$35,AGGREGATE(15,6,ROW('DM_TinhThanh'!$B$2:$B$35)-ROW('DM_TinhThanh'!$B$2)+1/ISNUMBER(SEARCH(SUBSTITUTE(UPPER($Q219)," ",""),'DM_TinhThanh'!$C$2:$C$35)),1)),"Không tìm thấy"))</f>
        <v/>
      </c>
      <c r="Y219" s="5">
        <f>IF($R219="","",IFERROR(INDEX('DM_XaPhuong'!$B$2:$B$169,AGGREGATE(15,6,ROW('DM_XaPhuong'!$B$2:$B$169)-ROW('DM_XaPhuong'!$B$2)+1/ISNUMBER(SEARCH(SUBSTITUTE(UPPER($R219)," ",""),'DM_XaPhuong'!$C$2:$C$169)),1)),"Không tìm thấy"))</f>
        <v/>
      </c>
      <c r="AB219" s="5">
        <f>IF($T219="","",IFERROR(INDEX('DM_NgheNghiep'!$B$2:$B$11,AGGREGATE(15,6,ROW('DM_NgheNghiep'!$B$2:$B$11)-ROW('DM_NgheNghiep'!$B$2)+1/ISNUMBER(SEARCH(SUBSTITUTE(UPPER($T219)," ",""),'DM_NgheNghiep'!$C$2:$C$11)),1)),"Không tìm thấy"))</f>
        <v/>
      </c>
      <c r="AD219" s="5">
        <f>IF($U219="","",IFERROR(INDEX('DM_NoiCongTac'!$B$2:$B$11,AGGREGATE(15,6,ROW('DM_NoiCongTac'!$B$2:$B$11)-ROW('DM_NoiCongTac'!$B$2)+1/ISNUMBER(SEARCH(SUBSTITUTE(UPPER($U219)," ",""),'DM_NoiCongTac'!$C$2:$C$11)),1)),"Không tìm thấy"))</f>
        <v/>
      </c>
      <c r="AF219" s="5">
        <f>IF($V219="","",IFERROR(INDEX('DM_XaPhuong'!$B$2:$B$169,AGGREGATE(15,6,ROW('DM_XaPhuong'!$B$2:$B$169)-ROW('DM_XaPhuong'!$B$2)+1/ISNUMBER(SEARCH(SUBSTITUTE(UPPER($V219)," ",""),'DM_XaPhuong'!$C$2:$C$169)),1)),"Không tìm thấy"))</f>
        <v/>
      </c>
    </row>
    <row r="220">
      <c r="C220" s="5">
        <f>IF($B220="","",IFERROR(INDEX('DM_DoiTuong'!$B$2:$B$19,AGGREGATE(15,6,ROW('DM_DoiTuong'!$B$2:$B$19)-ROW('DM_DoiTuong'!$B$2)+1/ISNUMBER(SEARCH(SUBSTITUTE(UPPER($B220)," ",""),'DM_DoiTuong'!$C$2:$C$19)),1)),"Không tìm thấy"))</f>
        <v/>
      </c>
      <c r="E220" s="5">
        <f>IF($C220="","",IFERROR(INDEX('DM_DiaDiemKham'!$B$2:$B$6,AGGREGATE(15,6,ROW('DM_DiaDiemKham'!$B$2:$B$6)-ROW('DM_DiaDiemKham'!$B$2)+1/ISNUMBER(SEARCH(SUBSTITUTE(UPPER($C220)," ",""),'DM_DiaDiemKham'!$C$2:$C$6)),1)),"Không tìm thấy"))</f>
        <v/>
      </c>
      <c r="G220" s="5">
        <f>IF($D220="","",IFERROR(INDEX('DM_HinhThucChiTra'!$B$2:$B$5,AGGREGATE(15,6,ROW('DM_HinhThucChiTra'!$B$2:$B$5)-ROW('DM_HinhThucChiTra'!$B$2)+1/ISNUMBER(SEARCH(SUBSTITUTE(UPPER($D220)," ",""),'DM_HinhThucChiTra'!$C$2:$C$5)),1)),"Không tìm thấy"))</f>
        <v/>
      </c>
      <c r="I220" s="5">
        <f>IF($E220="","",IFERROR(INDEX('DM_HinhThucKham'!$B$2:$B$3,AGGREGATE(15,6,ROW('DM_HinhThucKham'!$B$2:$B$3)-ROW('DM_HinhThucKham'!$B$2)+1/ISNUMBER(SEARCH(SUBSTITUTE(UPPER($E220)," ",""),'DM_HinhThucKham'!$C$2:$C$3)),1)),"Không tìm thấy"))</f>
        <v/>
      </c>
      <c r="P220" s="5">
        <f>IF($K220="","",IFERROR(INDEX('DM_DanToc'!$B$2:$B$78,AGGREGATE(15,6,ROW('DM_DanToc'!$B$2:$B$78)-ROW('DM_DanToc'!$B$2)+1/ISNUMBER(SEARCH(SUBSTITUTE(UPPER($K220)," ",""),'DM_DanToc'!$C$2:$C$78)),1)),"Không tìm thấy"))</f>
        <v/>
      </c>
      <c r="W220" s="5">
        <f>IF($Q220="","",IFERROR(INDEX('DM_TinhThanh'!$B$2:$B$35,AGGREGATE(15,6,ROW('DM_TinhThanh'!$B$2:$B$35)-ROW('DM_TinhThanh'!$B$2)+1/ISNUMBER(SEARCH(SUBSTITUTE(UPPER($Q220)," ",""),'DM_TinhThanh'!$C$2:$C$35)),1)),"Không tìm thấy"))</f>
        <v/>
      </c>
      <c r="Y220" s="5">
        <f>IF($R220="","",IFERROR(INDEX('DM_XaPhuong'!$B$2:$B$169,AGGREGATE(15,6,ROW('DM_XaPhuong'!$B$2:$B$169)-ROW('DM_XaPhuong'!$B$2)+1/ISNUMBER(SEARCH(SUBSTITUTE(UPPER($R220)," ",""),'DM_XaPhuong'!$C$2:$C$169)),1)),"Không tìm thấy"))</f>
        <v/>
      </c>
      <c r="AB220" s="5">
        <f>IF($T220="","",IFERROR(INDEX('DM_NgheNghiep'!$B$2:$B$11,AGGREGATE(15,6,ROW('DM_NgheNghiep'!$B$2:$B$11)-ROW('DM_NgheNghiep'!$B$2)+1/ISNUMBER(SEARCH(SUBSTITUTE(UPPER($T220)," ",""),'DM_NgheNghiep'!$C$2:$C$11)),1)),"Không tìm thấy"))</f>
        <v/>
      </c>
      <c r="AD220" s="5">
        <f>IF($U220="","",IFERROR(INDEX('DM_NoiCongTac'!$B$2:$B$11,AGGREGATE(15,6,ROW('DM_NoiCongTac'!$B$2:$B$11)-ROW('DM_NoiCongTac'!$B$2)+1/ISNUMBER(SEARCH(SUBSTITUTE(UPPER($U220)," ",""),'DM_NoiCongTac'!$C$2:$C$11)),1)),"Không tìm thấy"))</f>
        <v/>
      </c>
      <c r="AF220" s="5">
        <f>IF($V220="","",IFERROR(INDEX('DM_XaPhuong'!$B$2:$B$169,AGGREGATE(15,6,ROW('DM_XaPhuong'!$B$2:$B$169)-ROW('DM_XaPhuong'!$B$2)+1/ISNUMBER(SEARCH(SUBSTITUTE(UPPER($V220)," ",""),'DM_XaPhuong'!$C$2:$C$169)),1)),"Không tìm thấy"))</f>
        <v/>
      </c>
    </row>
    <row r="221">
      <c r="C221" s="5">
        <f>IF($B221="","",IFERROR(INDEX('DM_DoiTuong'!$B$2:$B$19,AGGREGATE(15,6,ROW('DM_DoiTuong'!$B$2:$B$19)-ROW('DM_DoiTuong'!$B$2)+1/ISNUMBER(SEARCH(SUBSTITUTE(UPPER($B221)," ",""),'DM_DoiTuong'!$C$2:$C$19)),1)),"Không tìm thấy"))</f>
        <v/>
      </c>
      <c r="E221" s="5">
        <f>IF($C221="","",IFERROR(INDEX('DM_DiaDiemKham'!$B$2:$B$6,AGGREGATE(15,6,ROW('DM_DiaDiemKham'!$B$2:$B$6)-ROW('DM_DiaDiemKham'!$B$2)+1/ISNUMBER(SEARCH(SUBSTITUTE(UPPER($C221)," ",""),'DM_DiaDiemKham'!$C$2:$C$6)),1)),"Không tìm thấy"))</f>
        <v/>
      </c>
      <c r="G221" s="5">
        <f>IF($D221="","",IFERROR(INDEX('DM_HinhThucChiTra'!$B$2:$B$5,AGGREGATE(15,6,ROW('DM_HinhThucChiTra'!$B$2:$B$5)-ROW('DM_HinhThucChiTra'!$B$2)+1/ISNUMBER(SEARCH(SUBSTITUTE(UPPER($D221)," ",""),'DM_HinhThucChiTra'!$C$2:$C$5)),1)),"Không tìm thấy"))</f>
        <v/>
      </c>
      <c r="I221" s="5">
        <f>IF($E221="","",IFERROR(INDEX('DM_HinhThucKham'!$B$2:$B$3,AGGREGATE(15,6,ROW('DM_HinhThucKham'!$B$2:$B$3)-ROW('DM_HinhThucKham'!$B$2)+1/ISNUMBER(SEARCH(SUBSTITUTE(UPPER($E221)," ",""),'DM_HinhThucKham'!$C$2:$C$3)),1)),"Không tìm thấy"))</f>
        <v/>
      </c>
      <c r="P221" s="5">
        <f>IF($K221="","",IFERROR(INDEX('DM_DanToc'!$B$2:$B$78,AGGREGATE(15,6,ROW('DM_DanToc'!$B$2:$B$78)-ROW('DM_DanToc'!$B$2)+1/ISNUMBER(SEARCH(SUBSTITUTE(UPPER($K221)," ",""),'DM_DanToc'!$C$2:$C$78)),1)),"Không tìm thấy"))</f>
        <v/>
      </c>
      <c r="W221" s="5">
        <f>IF($Q221="","",IFERROR(INDEX('DM_TinhThanh'!$B$2:$B$35,AGGREGATE(15,6,ROW('DM_TinhThanh'!$B$2:$B$35)-ROW('DM_TinhThanh'!$B$2)+1/ISNUMBER(SEARCH(SUBSTITUTE(UPPER($Q221)," ",""),'DM_TinhThanh'!$C$2:$C$35)),1)),"Không tìm thấy"))</f>
        <v/>
      </c>
      <c r="Y221" s="5">
        <f>IF($R221="","",IFERROR(INDEX('DM_XaPhuong'!$B$2:$B$169,AGGREGATE(15,6,ROW('DM_XaPhuong'!$B$2:$B$169)-ROW('DM_XaPhuong'!$B$2)+1/ISNUMBER(SEARCH(SUBSTITUTE(UPPER($R221)," ",""),'DM_XaPhuong'!$C$2:$C$169)),1)),"Không tìm thấy"))</f>
        <v/>
      </c>
      <c r="AB221" s="5">
        <f>IF($T221="","",IFERROR(INDEX('DM_NgheNghiep'!$B$2:$B$11,AGGREGATE(15,6,ROW('DM_NgheNghiep'!$B$2:$B$11)-ROW('DM_NgheNghiep'!$B$2)+1/ISNUMBER(SEARCH(SUBSTITUTE(UPPER($T221)," ",""),'DM_NgheNghiep'!$C$2:$C$11)),1)),"Không tìm thấy"))</f>
        <v/>
      </c>
      <c r="AD221" s="5">
        <f>IF($U221="","",IFERROR(INDEX('DM_NoiCongTac'!$B$2:$B$11,AGGREGATE(15,6,ROW('DM_NoiCongTac'!$B$2:$B$11)-ROW('DM_NoiCongTac'!$B$2)+1/ISNUMBER(SEARCH(SUBSTITUTE(UPPER($U221)," ",""),'DM_NoiCongTac'!$C$2:$C$11)),1)),"Không tìm thấy"))</f>
        <v/>
      </c>
      <c r="AF221" s="5">
        <f>IF($V221="","",IFERROR(INDEX('DM_XaPhuong'!$B$2:$B$169,AGGREGATE(15,6,ROW('DM_XaPhuong'!$B$2:$B$169)-ROW('DM_XaPhuong'!$B$2)+1/ISNUMBER(SEARCH(SUBSTITUTE(UPPER($V221)," ",""),'DM_XaPhuong'!$C$2:$C$169)),1)),"Không tìm thấy"))</f>
        <v/>
      </c>
    </row>
    <row r="222">
      <c r="C222" s="5">
        <f>IF($B222="","",IFERROR(INDEX('DM_DoiTuong'!$B$2:$B$19,AGGREGATE(15,6,ROW('DM_DoiTuong'!$B$2:$B$19)-ROW('DM_DoiTuong'!$B$2)+1/ISNUMBER(SEARCH(SUBSTITUTE(UPPER($B222)," ",""),'DM_DoiTuong'!$C$2:$C$19)),1)),"Không tìm thấy"))</f>
        <v/>
      </c>
      <c r="E222" s="5">
        <f>IF($C222="","",IFERROR(INDEX('DM_DiaDiemKham'!$B$2:$B$6,AGGREGATE(15,6,ROW('DM_DiaDiemKham'!$B$2:$B$6)-ROW('DM_DiaDiemKham'!$B$2)+1/ISNUMBER(SEARCH(SUBSTITUTE(UPPER($C222)," ",""),'DM_DiaDiemKham'!$C$2:$C$6)),1)),"Không tìm thấy"))</f>
        <v/>
      </c>
      <c r="G222" s="5">
        <f>IF($D222="","",IFERROR(INDEX('DM_HinhThucChiTra'!$B$2:$B$5,AGGREGATE(15,6,ROW('DM_HinhThucChiTra'!$B$2:$B$5)-ROW('DM_HinhThucChiTra'!$B$2)+1/ISNUMBER(SEARCH(SUBSTITUTE(UPPER($D222)," ",""),'DM_HinhThucChiTra'!$C$2:$C$5)),1)),"Không tìm thấy"))</f>
        <v/>
      </c>
      <c r="I222" s="5">
        <f>IF($E222="","",IFERROR(INDEX('DM_HinhThucKham'!$B$2:$B$3,AGGREGATE(15,6,ROW('DM_HinhThucKham'!$B$2:$B$3)-ROW('DM_HinhThucKham'!$B$2)+1/ISNUMBER(SEARCH(SUBSTITUTE(UPPER($E222)," ",""),'DM_HinhThucKham'!$C$2:$C$3)),1)),"Không tìm thấy"))</f>
        <v/>
      </c>
      <c r="P222" s="5">
        <f>IF($K222="","",IFERROR(INDEX('DM_DanToc'!$B$2:$B$78,AGGREGATE(15,6,ROW('DM_DanToc'!$B$2:$B$78)-ROW('DM_DanToc'!$B$2)+1/ISNUMBER(SEARCH(SUBSTITUTE(UPPER($K222)," ",""),'DM_DanToc'!$C$2:$C$78)),1)),"Không tìm thấy"))</f>
        <v/>
      </c>
      <c r="W222" s="5">
        <f>IF($Q222="","",IFERROR(INDEX('DM_TinhThanh'!$B$2:$B$35,AGGREGATE(15,6,ROW('DM_TinhThanh'!$B$2:$B$35)-ROW('DM_TinhThanh'!$B$2)+1/ISNUMBER(SEARCH(SUBSTITUTE(UPPER($Q222)," ",""),'DM_TinhThanh'!$C$2:$C$35)),1)),"Không tìm thấy"))</f>
        <v/>
      </c>
      <c r="Y222" s="5">
        <f>IF($R222="","",IFERROR(INDEX('DM_XaPhuong'!$B$2:$B$169,AGGREGATE(15,6,ROW('DM_XaPhuong'!$B$2:$B$169)-ROW('DM_XaPhuong'!$B$2)+1/ISNUMBER(SEARCH(SUBSTITUTE(UPPER($R222)," ",""),'DM_XaPhuong'!$C$2:$C$169)),1)),"Không tìm thấy"))</f>
        <v/>
      </c>
      <c r="AB222" s="5">
        <f>IF($T222="","",IFERROR(INDEX('DM_NgheNghiep'!$B$2:$B$11,AGGREGATE(15,6,ROW('DM_NgheNghiep'!$B$2:$B$11)-ROW('DM_NgheNghiep'!$B$2)+1/ISNUMBER(SEARCH(SUBSTITUTE(UPPER($T222)," ",""),'DM_NgheNghiep'!$C$2:$C$11)),1)),"Không tìm thấy"))</f>
        <v/>
      </c>
      <c r="AD222" s="5">
        <f>IF($U222="","",IFERROR(INDEX('DM_NoiCongTac'!$B$2:$B$11,AGGREGATE(15,6,ROW('DM_NoiCongTac'!$B$2:$B$11)-ROW('DM_NoiCongTac'!$B$2)+1/ISNUMBER(SEARCH(SUBSTITUTE(UPPER($U222)," ",""),'DM_NoiCongTac'!$C$2:$C$11)),1)),"Không tìm thấy"))</f>
        <v/>
      </c>
      <c r="AF222" s="5">
        <f>IF($V222="","",IFERROR(INDEX('DM_XaPhuong'!$B$2:$B$169,AGGREGATE(15,6,ROW('DM_XaPhuong'!$B$2:$B$169)-ROW('DM_XaPhuong'!$B$2)+1/ISNUMBER(SEARCH(SUBSTITUTE(UPPER($V222)," ",""),'DM_XaPhuong'!$C$2:$C$169)),1)),"Không tìm thấy"))</f>
        <v/>
      </c>
    </row>
    <row r="223">
      <c r="C223" s="5">
        <f>IF($B223="","",IFERROR(INDEX('DM_DoiTuong'!$B$2:$B$19,AGGREGATE(15,6,ROW('DM_DoiTuong'!$B$2:$B$19)-ROW('DM_DoiTuong'!$B$2)+1/ISNUMBER(SEARCH(SUBSTITUTE(UPPER($B223)," ",""),'DM_DoiTuong'!$C$2:$C$19)),1)),"Không tìm thấy"))</f>
        <v/>
      </c>
      <c r="E223" s="5">
        <f>IF($C223="","",IFERROR(INDEX('DM_DiaDiemKham'!$B$2:$B$6,AGGREGATE(15,6,ROW('DM_DiaDiemKham'!$B$2:$B$6)-ROW('DM_DiaDiemKham'!$B$2)+1/ISNUMBER(SEARCH(SUBSTITUTE(UPPER($C223)," ",""),'DM_DiaDiemKham'!$C$2:$C$6)),1)),"Không tìm thấy"))</f>
        <v/>
      </c>
      <c r="G223" s="5">
        <f>IF($D223="","",IFERROR(INDEX('DM_HinhThucChiTra'!$B$2:$B$5,AGGREGATE(15,6,ROW('DM_HinhThucChiTra'!$B$2:$B$5)-ROW('DM_HinhThucChiTra'!$B$2)+1/ISNUMBER(SEARCH(SUBSTITUTE(UPPER($D223)," ",""),'DM_HinhThucChiTra'!$C$2:$C$5)),1)),"Không tìm thấy"))</f>
        <v/>
      </c>
      <c r="I223" s="5">
        <f>IF($E223="","",IFERROR(INDEX('DM_HinhThucKham'!$B$2:$B$3,AGGREGATE(15,6,ROW('DM_HinhThucKham'!$B$2:$B$3)-ROW('DM_HinhThucKham'!$B$2)+1/ISNUMBER(SEARCH(SUBSTITUTE(UPPER($E223)," ",""),'DM_HinhThucKham'!$C$2:$C$3)),1)),"Không tìm thấy"))</f>
        <v/>
      </c>
      <c r="P223" s="5">
        <f>IF($K223="","",IFERROR(INDEX('DM_DanToc'!$B$2:$B$78,AGGREGATE(15,6,ROW('DM_DanToc'!$B$2:$B$78)-ROW('DM_DanToc'!$B$2)+1/ISNUMBER(SEARCH(SUBSTITUTE(UPPER($K223)," ",""),'DM_DanToc'!$C$2:$C$78)),1)),"Không tìm thấy"))</f>
        <v/>
      </c>
      <c r="W223" s="5">
        <f>IF($Q223="","",IFERROR(INDEX('DM_TinhThanh'!$B$2:$B$35,AGGREGATE(15,6,ROW('DM_TinhThanh'!$B$2:$B$35)-ROW('DM_TinhThanh'!$B$2)+1/ISNUMBER(SEARCH(SUBSTITUTE(UPPER($Q223)," ",""),'DM_TinhThanh'!$C$2:$C$35)),1)),"Không tìm thấy"))</f>
        <v/>
      </c>
      <c r="Y223" s="5">
        <f>IF($R223="","",IFERROR(INDEX('DM_XaPhuong'!$B$2:$B$169,AGGREGATE(15,6,ROW('DM_XaPhuong'!$B$2:$B$169)-ROW('DM_XaPhuong'!$B$2)+1/ISNUMBER(SEARCH(SUBSTITUTE(UPPER($R223)," ",""),'DM_XaPhuong'!$C$2:$C$169)),1)),"Không tìm thấy"))</f>
        <v/>
      </c>
      <c r="AB223" s="5">
        <f>IF($T223="","",IFERROR(INDEX('DM_NgheNghiep'!$B$2:$B$11,AGGREGATE(15,6,ROW('DM_NgheNghiep'!$B$2:$B$11)-ROW('DM_NgheNghiep'!$B$2)+1/ISNUMBER(SEARCH(SUBSTITUTE(UPPER($T223)," ",""),'DM_NgheNghiep'!$C$2:$C$11)),1)),"Không tìm thấy"))</f>
        <v/>
      </c>
      <c r="AD223" s="5">
        <f>IF($U223="","",IFERROR(INDEX('DM_NoiCongTac'!$B$2:$B$11,AGGREGATE(15,6,ROW('DM_NoiCongTac'!$B$2:$B$11)-ROW('DM_NoiCongTac'!$B$2)+1/ISNUMBER(SEARCH(SUBSTITUTE(UPPER($U223)," ",""),'DM_NoiCongTac'!$C$2:$C$11)),1)),"Không tìm thấy"))</f>
        <v/>
      </c>
      <c r="AF223" s="5">
        <f>IF($V223="","",IFERROR(INDEX('DM_XaPhuong'!$B$2:$B$169,AGGREGATE(15,6,ROW('DM_XaPhuong'!$B$2:$B$169)-ROW('DM_XaPhuong'!$B$2)+1/ISNUMBER(SEARCH(SUBSTITUTE(UPPER($V223)," ",""),'DM_XaPhuong'!$C$2:$C$169)),1)),"Không tìm thấy"))</f>
        <v/>
      </c>
    </row>
    <row r="224">
      <c r="C224" s="5">
        <f>IF($B224="","",IFERROR(INDEX('DM_DoiTuong'!$B$2:$B$19,AGGREGATE(15,6,ROW('DM_DoiTuong'!$B$2:$B$19)-ROW('DM_DoiTuong'!$B$2)+1/ISNUMBER(SEARCH(SUBSTITUTE(UPPER($B224)," ",""),'DM_DoiTuong'!$C$2:$C$19)),1)),"Không tìm thấy"))</f>
        <v/>
      </c>
      <c r="E224" s="5">
        <f>IF($C224="","",IFERROR(INDEX('DM_DiaDiemKham'!$B$2:$B$6,AGGREGATE(15,6,ROW('DM_DiaDiemKham'!$B$2:$B$6)-ROW('DM_DiaDiemKham'!$B$2)+1/ISNUMBER(SEARCH(SUBSTITUTE(UPPER($C224)," ",""),'DM_DiaDiemKham'!$C$2:$C$6)),1)),"Không tìm thấy"))</f>
        <v/>
      </c>
      <c r="G224" s="5">
        <f>IF($D224="","",IFERROR(INDEX('DM_HinhThucChiTra'!$B$2:$B$5,AGGREGATE(15,6,ROW('DM_HinhThucChiTra'!$B$2:$B$5)-ROW('DM_HinhThucChiTra'!$B$2)+1/ISNUMBER(SEARCH(SUBSTITUTE(UPPER($D224)," ",""),'DM_HinhThucChiTra'!$C$2:$C$5)),1)),"Không tìm thấy"))</f>
        <v/>
      </c>
      <c r="I224" s="5">
        <f>IF($E224="","",IFERROR(INDEX('DM_HinhThucKham'!$B$2:$B$3,AGGREGATE(15,6,ROW('DM_HinhThucKham'!$B$2:$B$3)-ROW('DM_HinhThucKham'!$B$2)+1/ISNUMBER(SEARCH(SUBSTITUTE(UPPER($E224)," ",""),'DM_HinhThucKham'!$C$2:$C$3)),1)),"Không tìm thấy"))</f>
        <v/>
      </c>
      <c r="P224" s="5">
        <f>IF($K224="","",IFERROR(INDEX('DM_DanToc'!$B$2:$B$78,AGGREGATE(15,6,ROW('DM_DanToc'!$B$2:$B$78)-ROW('DM_DanToc'!$B$2)+1/ISNUMBER(SEARCH(SUBSTITUTE(UPPER($K224)," ",""),'DM_DanToc'!$C$2:$C$78)),1)),"Không tìm thấy"))</f>
        <v/>
      </c>
      <c r="W224" s="5">
        <f>IF($Q224="","",IFERROR(INDEX('DM_TinhThanh'!$B$2:$B$35,AGGREGATE(15,6,ROW('DM_TinhThanh'!$B$2:$B$35)-ROW('DM_TinhThanh'!$B$2)+1/ISNUMBER(SEARCH(SUBSTITUTE(UPPER($Q224)," ",""),'DM_TinhThanh'!$C$2:$C$35)),1)),"Không tìm thấy"))</f>
        <v/>
      </c>
      <c r="Y224" s="5">
        <f>IF($R224="","",IFERROR(INDEX('DM_XaPhuong'!$B$2:$B$169,AGGREGATE(15,6,ROW('DM_XaPhuong'!$B$2:$B$169)-ROW('DM_XaPhuong'!$B$2)+1/ISNUMBER(SEARCH(SUBSTITUTE(UPPER($R224)," ",""),'DM_XaPhuong'!$C$2:$C$169)),1)),"Không tìm thấy"))</f>
        <v/>
      </c>
      <c r="AB224" s="5">
        <f>IF($T224="","",IFERROR(INDEX('DM_NgheNghiep'!$B$2:$B$11,AGGREGATE(15,6,ROW('DM_NgheNghiep'!$B$2:$B$11)-ROW('DM_NgheNghiep'!$B$2)+1/ISNUMBER(SEARCH(SUBSTITUTE(UPPER($T224)," ",""),'DM_NgheNghiep'!$C$2:$C$11)),1)),"Không tìm thấy"))</f>
        <v/>
      </c>
      <c r="AD224" s="5">
        <f>IF($U224="","",IFERROR(INDEX('DM_NoiCongTac'!$B$2:$B$11,AGGREGATE(15,6,ROW('DM_NoiCongTac'!$B$2:$B$11)-ROW('DM_NoiCongTac'!$B$2)+1/ISNUMBER(SEARCH(SUBSTITUTE(UPPER($U224)," ",""),'DM_NoiCongTac'!$C$2:$C$11)),1)),"Không tìm thấy"))</f>
        <v/>
      </c>
      <c r="AF224" s="5">
        <f>IF($V224="","",IFERROR(INDEX('DM_XaPhuong'!$B$2:$B$169,AGGREGATE(15,6,ROW('DM_XaPhuong'!$B$2:$B$169)-ROW('DM_XaPhuong'!$B$2)+1/ISNUMBER(SEARCH(SUBSTITUTE(UPPER($V224)," ",""),'DM_XaPhuong'!$C$2:$C$169)),1)),"Không tìm thấy"))</f>
        <v/>
      </c>
    </row>
    <row r="225">
      <c r="C225" s="5">
        <f>IF($B225="","",IFERROR(INDEX('DM_DoiTuong'!$B$2:$B$19,AGGREGATE(15,6,ROW('DM_DoiTuong'!$B$2:$B$19)-ROW('DM_DoiTuong'!$B$2)+1/ISNUMBER(SEARCH(SUBSTITUTE(UPPER($B225)," ",""),'DM_DoiTuong'!$C$2:$C$19)),1)),"Không tìm thấy"))</f>
        <v/>
      </c>
      <c r="E225" s="5">
        <f>IF($C225="","",IFERROR(INDEX('DM_DiaDiemKham'!$B$2:$B$6,AGGREGATE(15,6,ROW('DM_DiaDiemKham'!$B$2:$B$6)-ROW('DM_DiaDiemKham'!$B$2)+1/ISNUMBER(SEARCH(SUBSTITUTE(UPPER($C225)," ",""),'DM_DiaDiemKham'!$C$2:$C$6)),1)),"Không tìm thấy"))</f>
        <v/>
      </c>
      <c r="G225" s="5">
        <f>IF($D225="","",IFERROR(INDEX('DM_HinhThucChiTra'!$B$2:$B$5,AGGREGATE(15,6,ROW('DM_HinhThucChiTra'!$B$2:$B$5)-ROW('DM_HinhThucChiTra'!$B$2)+1/ISNUMBER(SEARCH(SUBSTITUTE(UPPER($D225)," ",""),'DM_HinhThucChiTra'!$C$2:$C$5)),1)),"Không tìm thấy"))</f>
        <v/>
      </c>
      <c r="I225" s="5">
        <f>IF($E225="","",IFERROR(INDEX('DM_HinhThucKham'!$B$2:$B$3,AGGREGATE(15,6,ROW('DM_HinhThucKham'!$B$2:$B$3)-ROW('DM_HinhThucKham'!$B$2)+1/ISNUMBER(SEARCH(SUBSTITUTE(UPPER($E225)," ",""),'DM_HinhThucKham'!$C$2:$C$3)),1)),"Không tìm thấy"))</f>
        <v/>
      </c>
      <c r="P225" s="5">
        <f>IF($K225="","",IFERROR(INDEX('DM_DanToc'!$B$2:$B$78,AGGREGATE(15,6,ROW('DM_DanToc'!$B$2:$B$78)-ROW('DM_DanToc'!$B$2)+1/ISNUMBER(SEARCH(SUBSTITUTE(UPPER($K225)," ",""),'DM_DanToc'!$C$2:$C$78)),1)),"Không tìm thấy"))</f>
        <v/>
      </c>
      <c r="W225" s="5">
        <f>IF($Q225="","",IFERROR(INDEX('DM_TinhThanh'!$B$2:$B$35,AGGREGATE(15,6,ROW('DM_TinhThanh'!$B$2:$B$35)-ROW('DM_TinhThanh'!$B$2)+1/ISNUMBER(SEARCH(SUBSTITUTE(UPPER($Q225)," ",""),'DM_TinhThanh'!$C$2:$C$35)),1)),"Không tìm thấy"))</f>
        <v/>
      </c>
      <c r="Y225" s="5">
        <f>IF($R225="","",IFERROR(INDEX('DM_XaPhuong'!$B$2:$B$169,AGGREGATE(15,6,ROW('DM_XaPhuong'!$B$2:$B$169)-ROW('DM_XaPhuong'!$B$2)+1/ISNUMBER(SEARCH(SUBSTITUTE(UPPER($R225)," ",""),'DM_XaPhuong'!$C$2:$C$169)),1)),"Không tìm thấy"))</f>
        <v/>
      </c>
      <c r="AB225" s="5">
        <f>IF($T225="","",IFERROR(INDEX('DM_NgheNghiep'!$B$2:$B$11,AGGREGATE(15,6,ROW('DM_NgheNghiep'!$B$2:$B$11)-ROW('DM_NgheNghiep'!$B$2)+1/ISNUMBER(SEARCH(SUBSTITUTE(UPPER($T225)," ",""),'DM_NgheNghiep'!$C$2:$C$11)),1)),"Không tìm thấy"))</f>
        <v/>
      </c>
      <c r="AD225" s="5">
        <f>IF($U225="","",IFERROR(INDEX('DM_NoiCongTac'!$B$2:$B$11,AGGREGATE(15,6,ROW('DM_NoiCongTac'!$B$2:$B$11)-ROW('DM_NoiCongTac'!$B$2)+1/ISNUMBER(SEARCH(SUBSTITUTE(UPPER($U225)," ",""),'DM_NoiCongTac'!$C$2:$C$11)),1)),"Không tìm thấy"))</f>
        <v/>
      </c>
      <c r="AF225" s="5">
        <f>IF($V225="","",IFERROR(INDEX('DM_XaPhuong'!$B$2:$B$169,AGGREGATE(15,6,ROW('DM_XaPhuong'!$B$2:$B$169)-ROW('DM_XaPhuong'!$B$2)+1/ISNUMBER(SEARCH(SUBSTITUTE(UPPER($V225)," ",""),'DM_XaPhuong'!$C$2:$C$169)),1)),"Không tìm thấy"))</f>
        <v/>
      </c>
    </row>
    <row r="226">
      <c r="C226" s="5">
        <f>IF($B226="","",IFERROR(INDEX('DM_DoiTuong'!$B$2:$B$19,AGGREGATE(15,6,ROW('DM_DoiTuong'!$B$2:$B$19)-ROW('DM_DoiTuong'!$B$2)+1/ISNUMBER(SEARCH(SUBSTITUTE(UPPER($B226)," ",""),'DM_DoiTuong'!$C$2:$C$19)),1)),"Không tìm thấy"))</f>
        <v/>
      </c>
      <c r="E226" s="5">
        <f>IF($C226="","",IFERROR(INDEX('DM_DiaDiemKham'!$B$2:$B$6,AGGREGATE(15,6,ROW('DM_DiaDiemKham'!$B$2:$B$6)-ROW('DM_DiaDiemKham'!$B$2)+1/ISNUMBER(SEARCH(SUBSTITUTE(UPPER($C226)," ",""),'DM_DiaDiemKham'!$C$2:$C$6)),1)),"Không tìm thấy"))</f>
        <v/>
      </c>
      <c r="G226" s="5">
        <f>IF($D226="","",IFERROR(INDEX('DM_HinhThucChiTra'!$B$2:$B$5,AGGREGATE(15,6,ROW('DM_HinhThucChiTra'!$B$2:$B$5)-ROW('DM_HinhThucChiTra'!$B$2)+1/ISNUMBER(SEARCH(SUBSTITUTE(UPPER($D226)," ",""),'DM_HinhThucChiTra'!$C$2:$C$5)),1)),"Không tìm thấy"))</f>
        <v/>
      </c>
      <c r="I226" s="5">
        <f>IF($E226="","",IFERROR(INDEX('DM_HinhThucKham'!$B$2:$B$3,AGGREGATE(15,6,ROW('DM_HinhThucKham'!$B$2:$B$3)-ROW('DM_HinhThucKham'!$B$2)+1/ISNUMBER(SEARCH(SUBSTITUTE(UPPER($E226)," ",""),'DM_HinhThucKham'!$C$2:$C$3)),1)),"Không tìm thấy"))</f>
        <v/>
      </c>
      <c r="P226" s="5">
        <f>IF($K226="","",IFERROR(INDEX('DM_DanToc'!$B$2:$B$78,AGGREGATE(15,6,ROW('DM_DanToc'!$B$2:$B$78)-ROW('DM_DanToc'!$B$2)+1/ISNUMBER(SEARCH(SUBSTITUTE(UPPER($K226)," ",""),'DM_DanToc'!$C$2:$C$78)),1)),"Không tìm thấy"))</f>
        <v/>
      </c>
      <c r="W226" s="5">
        <f>IF($Q226="","",IFERROR(INDEX('DM_TinhThanh'!$B$2:$B$35,AGGREGATE(15,6,ROW('DM_TinhThanh'!$B$2:$B$35)-ROW('DM_TinhThanh'!$B$2)+1/ISNUMBER(SEARCH(SUBSTITUTE(UPPER($Q226)," ",""),'DM_TinhThanh'!$C$2:$C$35)),1)),"Không tìm thấy"))</f>
        <v/>
      </c>
      <c r="Y226" s="5">
        <f>IF($R226="","",IFERROR(INDEX('DM_XaPhuong'!$B$2:$B$169,AGGREGATE(15,6,ROW('DM_XaPhuong'!$B$2:$B$169)-ROW('DM_XaPhuong'!$B$2)+1/ISNUMBER(SEARCH(SUBSTITUTE(UPPER($R226)," ",""),'DM_XaPhuong'!$C$2:$C$169)),1)),"Không tìm thấy"))</f>
        <v/>
      </c>
      <c r="AB226" s="5">
        <f>IF($T226="","",IFERROR(INDEX('DM_NgheNghiep'!$B$2:$B$11,AGGREGATE(15,6,ROW('DM_NgheNghiep'!$B$2:$B$11)-ROW('DM_NgheNghiep'!$B$2)+1/ISNUMBER(SEARCH(SUBSTITUTE(UPPER($T226)," ",""),'DM_NgheNghiep'!$C$2:$C$11)),1)),"Không tìm thấy"))</f>
        <v/>
      </c>
      <c r="AD226" s="5">
        <f>IF($U226="","",IFERROR(INDEX('DM_NoiCongTac'!$B$2:$B$11,AGGREGATE(15,6,ROW('DM_NoiCongTac'!$B$2:$B$11)-ROW('DM_NoiCongTac'!$B$2)+1/ISNUMBER(SEARCH(SUBSTITUTE(UPPER($U226)," ",""),'DM_NoiCongTac'!$C$2:$C$11)),1)),"Không tìm thấy"))</f>
        <v/>
      </c>
      <c r="AF226" s="5">
        <f>IF($V226="","",IFERROR(INDEX('DM_XaPhuong'!$B$2:$B$169,AGGREGATE(15,6,ROW('DM_XaPhuong'!$B$2:$B$169)-ROW('DM_XaPhuong'!$B$2)+1/ISNUMBER(SEARCH(SUBSTITUTE(UPPER($V226)," ",""),'DM_XaPhuong'!$C$2:$C$169)),1)),"Không tìm thấy"))</f>
        <v/>
      </c>
    </row>
    <row r="227">
      <c r="C227" s="5">
        <f>IF($B227="","",IFERROR(INDEX('DM_DoiTuong'!$B$2:$B$19,AGGREGATE(15,6,ROW('DM_DoiTuong'!$B$2:$B$19)-ROW('DM_DoiTuong'!$B$2)+1/ISNUMBER(SEARCH(SUBSTITUTE(UPPER($B227)," ",""),'DM_DoiTuong'!$C$2:$C$19)),1)),"Không tìm thấy"))</f>
        <v/>
      </c>
      <c r="E227" s="5">
        <f>IF($C227="","",IFERROR(INDEX('DM_DiaDiemKham'!$B$2:$B$6,AGGREGATE(15,6,ROW('DM_DiaDiemKham'!$B$2:$B$6)-ROW('DM_DiaDiemKham'!$B$2)+1/ISNUMBER(SEARCH(SUBSTITUTE(UPPER($C227)," ",""),'DM_DiaDiemKham'!$C$2:$C$6)),1)),"Không tìm thấy"))</f>
        <v/>
      </c>
      <c r="G227" s="5">
        <f>IF($D227="","",IFERROR(INDEX('DM_HinhThucChiTra'!$B$2:$B$5,AGGREGATE(15,6,ROW('DM_HinhThucChiTra'!$B$2:$B$5)-ROW('DM_HinhThucChiTra'!$B$2)+1/ISNUMBER(SEARCH(SUBSTITUTE(UPPER($D227)," ",""),'DM_HinhThucChiTra'!$C$2:$C$5)),1)),"Không tìm thấy"))</f>
        <v/>
      </c>
      <c r="I227" s="5">
        <f>IF($E227="","",IFERROR(INDEX('DM_HinhThucKham'!$B$2:$B$3,AGGREGATE(15,6,ROW('DM_HinhThucKham'!$B$2:$B$3)-ROW('DM_HinhThucKham'!$B$2)+1/ISNUMBER(SEARCH(SUBSTITUTE(UPPER($E227)," ",""),'DM_HinhThucKham'!$C$2:$C$3)),1)),"Không tìm thấy"))</f>
        <v/>
      </c>
      <c r="P227" s="5">
        <f>IF($K227="","",IFERROR(INDEX('DM_DanToc'!$B$2:$B$78,AGGREGATE(15,6,ROW('DM_DanToc'!$B$2:$B$78)-ROW('DM_DanToc'!$B$2)+1/ISNUMBER(SEARCH(SUBSTITUTE(UPPER($K227)," ",""),'DM_DanToc'!$C$2:$C$78)),1)),"Không tìm thấy"))</f>
        <v/>
      </c>
      <c r="W227" s="5">
        <f>IF($Q227="","",IFERROR(INDEX('DM_TinhThanh'!$B$2:$B$35,AGGREGATE(15,6,ROW('DM_TinhThanh'!$B$2:$B$35)-ROW('DM_TinhThanh'!$B$2)+1/ISNUMBER(SEARCH(SUBSTITUTE(UPPER($Q227)," ",""),'DM_TinhThanh'!$C$2:$C$35)),1)),"Không tìm thấy"))</f>
        <v/>
      </c>
      <c r="Y227" s="5">
        <f>IF($R227="","",IFERROR(INDEX('DM_XaPhuong'!$B$2:$B$169,AGGREGATE(15,6,ROW('DM_XaPhuong'!$B$2:$B$169)-ROW('DM_XaPhuong'!$B$2)+1/ISNUMBER(SEARCH(SUBSTITUTE(UPPER($R227)," ",""),'DM_XaPhuong'!$C$2:$C$169)),1)),"Không tìm thấy"))</f>
        <v/>
      </c>
      <c r="AB227" s="5">
        <f>IF($T227="","",IFERROR(INDEX('DM_NgheNghiep'!$B$2:$B$11,AGGREGATE(15,6,ROW('DM_NgheNghiep'!$B$2:$B$11)-ROW('DM_NgheNghiep'!$B$2)+1/ISNUMBER(SEARCH(SUBSTITUTE(UPPER($T227)," ",""),'DM_NgheNghiep'!$C$2:$C$11)),1)),"Không tìm thấy"))</f>
        <v/>
      </c>
      <c r="AD227" s="5">
        <f>IF($U227="","",IFERROR(INDEX('DM_NoiCongTac'!$B$2:$B$11,AGGREGATE(15,6,ROW('DM_NoiCongTac'!$B$2:$B$11)-ROW('DM_NoiCongTac'!$B$2)+1/ISNUMBER(SEARCH(SUBSTITUTE(UPPER($U227)," ",""),'DM_NoiCongTac'!$C$2:$C$11)),1)),"Không tìm thấy"))</f>
        <v/>
      </c>
      <c r="AF227" s="5">
        <f>IF($V227="","",IFERROR(INDEX('DM_XaPhuong'!$B$2:$B$169,AGGREGATE(15,6,ROW('DM_XaPhuong'!$B$2:$B$169)-ROW('DM_XaPhuong'!$B$2)+1/ISNUMBER(SEARCH(SUBSTITUTE(UPPER($V227)," ",""),'DM_XaPhuong'!$C$2:$C$169)),1)),"Không tìm thấy"))</f>
        <v/>
      </c>
    </row>
    <row r="228">
      <c r="C228" s="5">
        <f>IF($B228="","",IFERROR(INDEX('DM_DoiTuong'!$B$2:$B$19,AGGREGATE(15,6,ROW('DM_DoiTuong'!$B$2:$B$19)-ROW('DM_DoiTuong'!$B$2)+1/ISNUMBER(SEARCH(SUBSTITUTE(UPPER($B228)," ",""),'DM_DoiTuong'!$C$2:$C$19)),1)),"Không tìm thấy"))</f>
        <v/>
      </c>
      <c r="E228" s="5">
        <f>IF($C228="","",IFERROR(INDEX('DM_DiaDiemKham'!$B$2:$B$6,AGGREGATE(15,6,ROW('DM_DiaDiemKham'!$B$2:$B$6)-ROW('DM_DiaDiemKham'!$B$2)+1/ISNUMBER(SEARCH(SUBSTITUTE(UPPER($C228)," ",""),'DM_DiaDiemKham'!$C$2:$C$6)),1)),"Không tìm thấy"))</f>
        <v/>
      </c>
      <c r="G228" s="5">
        <f>IF($D228="","",IFERROR(INDEX('DM_HinhThucChiTra'!$B$2:$B$5,AGGREGATE(15,6,ROW('DM_HinhThucChiTra'!$B$2:$B$5)-ROW('DM_HinhThucChiTra'!$B$2)+1/ISNUMBER(SEARCH(SUBSTITUTE(UPPER($D228)," ",""),'DM_HinhThucChiTra'!$C$2:$C$5)),1)),"Không tìm thấy"))</f>
        <v/>
      </c>
      <c r="I228" s="5">
        <f>IF($E228="","",IFERROR(INDEX('DM_HinhThucKham'!$B$2:$B$3,AGGREGATE(15,6,ROW('DM_HinhThucKham'!$B$2:$B$3)-ROW('DM_HinhThucKham'!$B$2)+1/ISNUMBER(SEARCH(SUBSTITUTE(UPPER($E228)," ",""),'DM_HinhThucKham'!$C$2:$C$3)),1)),"Không tìm thấy"))</f>
        <v/>
      </c>
      <c r="P228" s="5">
        <f>IF($K228="","",IFERROR(INDEX('DM_DanToc'!$B$2:$B$78,AGGREGATE(15,6,ROW('DM_DanToc'!$B$2:$B$78)-ROW('DM_DanToc'!$B$2)+1/ISNUMBER(SEARCH(SUBSTITUTE(UPPER($K228)," ",""),'DM_DanToc'!$C$2:$C$78)),1)),"Không tìm thấy"))</f>
        <v/>
      </c>
      <c r="W228" s="5">
        <f>IF($Q228="","",IFERROR(INDEX('DM_TinhThanh'!$B$2:$B$35,AGGREGATE(15,6,ROW('DM_TinhThanh'!$B$2:$B$35)-ROW('DM_TinhThanh'!$B$2)+1/ISNUMBER(SEARCH(SUBSTITUTE(UPPER($Q228)," ",""),'DM_TinhThanh'!$C$2:$C$35)),1)),"Không tìm thấy"))</f>
        <v/>
      </c>
      <c r="Y228" s="5">
        <f>IF($R228="","",IFERROR(INDEX('DM_XaPhuong'!$B$2:$B$169,AGGREGATE(15,6,ROW('DM_XaPhuong'!$B$2:$B$169)-ROW('DM_XaPhuong'!$B$2)+1/ISNUMBER(SEARCH(SUBSTITUTE(UPPER($R228)," ",""),'DM_XaPhuong'!$C$2:$C$169)),1)),"Không tìm thấy"))</f>
        <v/>
      </c>
      <c r="AB228" s="5">
        <f>IF($T228="","",IFERROR(INDEX('DM_NgheNghiep'!$B$2:$B$11,AGGREGATE(15,6,ROW('DM_NgheNghiep'!$B$2:$B$11)-ROW('DM_NgheNghiep'!$B$2)+1/ISNUMBER(SEARCH(SUBSTITUTE(UPPER($T228)," ",""),'DM_NgheNghiep'!$C$2:$C$11)),1)),"Không tìm thấy"))</f>
        <v/>
      </c>
      <c r="AD228" s="5">
        <f>IF($U228="","",IFERROR(INDEX('DM_NoiCongTac'!$B$2:$B$11,AGGREGATE(15,6,ROW('DM_NoiCongTac'!$B$2:$B$11)-ROW('DM_NoiCongTac'!$B$2)+1/ISNUMBER(SEARCH(SUBSTITUTE(UPPER($U228)," ",""),'DM_NoiCongTac'!$C$2:$C$11)),1)),"Không tìm thấy"))</f>
        <v/>
      </c>
      <c r="AF228" s="5">
        <f>IF($V228="","",IFERROR(INDEX('DM_XaPhuong'!$B$2:$B$169,AGGREGATE(15,6,ROW('DM_XaPhuong'!$B$2:$B$169)-ROW('DM_XaPhuong'!$B$2)+1/ISNUMBER(SEARCH(SUBSTITUTE(UPPER($V228)," ",""),'DM_XaPhuong'!$C$2:$C$169)),1)),"Không tìm thấy"))</f>
        <v/>
      </c>
    </row>
    <row r="229">
      <c r="C229" s="5">
        <f>IF($B229="","",IFERROR(INDEX('DM_DoiTuong'!$B$2:$B$19,AGGREGATE(15,6,ROW('DM_DoiTuong'!$B$2:$B$19)-ROW('DM_DoiTuong'!$B$2)+1/ISNUMBER(SEARCH(SUBSTITUTE(UPPER($B229)," ",""),'DM_DoiTuong'!$C$2:$C$19)),1)),"Không tìm thấy"))</f>
        <v/>
      </c>
      <c r="E229" s="5">
        <f>IF($C229="","",IFERROR(INDEX('DM_DiaDiemKham'!$B$2:$B$6,AGGREGATE(15,6,ROW('DM_DiaDiemKham'!$B$2:$B$6)-ROW('DM_DiaDiemKham'!$B$2)+1/ISNUMBER(SEARCH(SUBSTITUTE(UPPER($C229)," ",""),'DM_DiaDiemKham'!$C$2:$C$6)),1)),"Không tìm thấy"))</f>
        <v/>
      </c>
      <c r="G229" s="5">
        <f>IF($D229="","",IFERROR(INDEX('DM_HinhThucChiTra'!$B$2:$B$5,AGGREGATE(15,6,ROW('DM_HinhThucChiTra'!$B$2:$B$5)-ROW('DM_HinhThucChiTra'!$B$2)+1/ISNUMBER(SEARCH(SUBSTITUTE(UPPER($D229)," ",""),'DM_HinhThucChiTra'!$C$2:$C$5)),1)),"Không tìm thấy"))</f>
        <v/>
      </c>
      <c r="I229" s="5">
        <f>IF($E229="","",IFERROR(INDEX('DM_HinhThucKham'!$B$2:$B$3,AGGREGATE(15,6,ROW('DM_HinhThucKham'!$B$2:$B$3)-ROW('DM_HinhThucKham'!$B$2)+1/ISNUMBER(SEARCH(SUBSTITUTE(UPPER($E229)," ",""),'DM_HinhThucKham'!$C$2:$C$3)),1)),"Không tìm thấy"))</f>
        <v/>
      </c>
      <c r="P229" s="5">
        <f>IF($K229="","",IFERROR(INDEX('DM_DanToc'!$B$2:$B$78,AGGREGATE(15,6,ROW('DM_DanToc'!$B$2:$B$78)-ROW('DM_DanToc'!$B$2)+1/ISNUMBER(SEARCH(SUBSTITUTE(UPPER($K229)," ",""),'DM_DanToc'!$C$2:$C$78)),1)),"Không tìm thấy"))</f>
        <v/>
      </c>
      <c r="W229" s="5">
        <f>IF($Q229="","",IFERROR(INDEX('DM_TinhThanh'!$B$2:$B$35,AGGREGATE(15,6,ROW('DM_TinhThanh'!$B$2:$B$35)-ROW('DM_TinhThanh'!$B$2)+1/ISNUMBER(SEARCH(SUBSTITUTE(UPPER($Q229)," ",""),'DM_TinhThanh'!$C$2:$C$35)),1)),"Không tìm thấy"))</f>
        <v/>
      </c>
      <c r="Y229" s="5">
        <f>IF($R229="","",IFERROR(INDEX('DM_XaPhuong'!$B$2:$B$169,AGGREGATE(15,6,ROW('DM_XaPhuong'!$B$2:$B$169)-ROW('DM_XaPhuong'!$B$2)+1/ISNUMBER(SEARCH(SUBSTITUTE(UPPER($R229)," ",""),'DM_XaPhuong'!$C$2:$C$169)),1)),"Không tìm thấy"))</f>
        <v/>
      </c>
      <c r="AB229" s="5">
        <f>IF($T229="","",IFERROR(INDEX('DM_NgheNghiep'!$B$2:$B$11,AGGREGATE(15,6,ROW('DM_NgheNghiep'!$B$2:$B$11)-ROW('DM_NgheNghiep'!$B$2)+1/ISNUMBER(SEARCH(SUBSTITUTE(UPPER($T229)," ",""),'DM_NgheNghiep'!$C$2:$C$11)),1)),"Không tìm thấy"))</f>
        <v/>
      </c>
      <c r="AD229" s="5">
        <f>IF($U229="","",IFERROR(INDEX('DM_NoiCongTac'!$B$2:$B$11,AGGREGATE(15,6,ROW('DM_NoiCongTac'!$B$2:$B$11)-ROW('DM_NoiCongTac'!$B$2)+1/ISNUMBER(SEARCH(SUBSTITUTE(UPPER($U229)," ",""),'DM_NoiCongTac'!$C$2:$C$11)),1)),"Không tìm thấy"))</f>
        <v/>
      </c>
      <c r="AF229" s="5">
        <f>IF($V229="","",IFERROR(INDEX('DM_XaPhuong'!$B$2:$B$169,AGGREGATE(15,6,ROW('DM_XaPhuong'!$B$2:$B$169)-ROW('DM_XaPhuong'!$B$2)+1/ISNUMBER(SEARCH(SUBSTITUTE(UPPER($V229)," ",""),'DM_XaPhuong'!$C$2:$C$169)),1)),"Không tìm thấy"))</f>
        <v/>
      </c>
    </row>
    <row r="230">
      <c r="C230" s="5">
        <f>IF($B230="","",IFERROR(INDEX('DM_DoiTuong'!$B$2:$B$19,AGGREGATE(15,6,ROW('DM_DoiTuong'!$B$2:$B$19)-ROW('DM_DoiTuong'!$B$2)+1/ISNUMBER(SEARCH(SUBSTITUTE(UPPER($B230)," ",""),'DM_DoiTuong'!$C$2:$C$19)),1)),"Không tìm thấy"))</f>
        <v/>
      </c>
      <c r="E230" s="5">
        <f>IF($C230="","",IFERROR(INDEX('DM_DiaDiemKham'!$B$2:$B$6,AGGREGATE(15,6,ROW('DM_DiaDiemKham'!$B$2:$B$6)-ROW('DM_DiaDiemKham'!$B$2)+1/ISNUMBER(SEARCH(SUBSTITUTE(UPPER($C230)," ",""),'DM_DiaDiemKham'!$C$2:$C$6)),1)),"Không tìm thấy"))</f>
        <v/>
      </c>
      <c r="G230" s="5">
        <f>IF($D230="","",IFERROR(INDEX('DM_HinhThucChiTra'!$B$2:$B$5,AGGREGATE(15,6,ROW('DM_HinhThucChiTra'!$B$2:$B$5)-ROW('DM_HinhThucChiTra'!$B$2)+1/ISNUMBER(SEARCH(SUBSTITUTE(UPPER($D230)," ",""),'DM_HinhThucChiTra'!$C$2:$C$5)),1)),"Không tìm thấy"))</f>
        <v/>
      </c>
      <c r="I230" s="5">
        <f>IF($E230="","",IFERROR(INDEX('DM_HinhThucKham'!$B$2:$B$3,AGGREGATE(15,6,ROW('DM_HinhThucKham'!$B$2:$B$3)-ROW('DM_HinhThucKham'!$B$2)+1/ISNUMBER(SEARCH(SUBSTITUTE(UPPER($E230)," ",""),'DM_HinhThucKham'!$C$2:$C$3)),1)),"Không tìm thấy"))</f>
        <v/>
      </c>
      <c r="P230" s="5">
        <f>IF($K230="","",IFERROR(INDEX('DM_DanToc'!$B$2:$B$78,AGGREGATE(15,6,ROW('DM_DanToc'!$B$2:$B$78)-ROW('DM_DanToc'!$B$2)+1/ISNUMBER(SEARCH(SUBSTITUTE(UPPER($K230)," ",""),'DM_DanToc'!$C$2:$C$78)),1)),"Không tìm thấy"))</f>
        <v/>
      </c>
      <c r="W230" s="5">
        <f>IF($Q230="","",IFERROR(INDEX('DM_TinhThanh'!$B$2:$B$35,AGGREGATE(15,6,ROW('DM_TinhThanh'!$B$2:$B$35)-ROW('DM_TinhThanh'!$B$2)+1/ISNUMBER(SEARCH(SUBSTITUTE(UPPER($Q230)," ",""),'DM_TinhThanh'!$C$2:$C$35)),1)),"Không tìm thấy"))</f>
        <v/>
      </c>
      <c r="Y230" s="5">
        <f>IF($R230="","",IFERROR(INDEX('DM_XaPhuong'!$B$2:$B$169,AGGREGATE(15,6,ROW('DM_XaPhuong'!$B$2:$B$169)-ROW('DM_XaPhuong'!$B$2)+1/ISNUMBER(SEARCH(SUBSTITUTE(UPPER($R230)," ",""),'DM_XaPhuong'!$C$2:$C$169)),1)),"Không tìm thấy"))</f>
        <v/>
      </c>
      <c r="AB230" s="5">
        <f>IF($T230="","",IFERROR(INDEX('DM_NgheNghiep'!$B$2:$B$11,AGGREGATE(15,6,ROW('DM_NgheNghiep'!$B$2:$B$11)-ROW('DM_NgheNghiep'!$B$2)+1/ISNUMBER(SEARCH(SUBSTITUTE(UPPER($T230)," ",""),'DM_NgheNghiep'!$C$2:$C$11)),1)),"Không tìm thấy"))</f>
        <v/>
      </c>
      <c r="AD230" s="5">
        <f>IF($U230="","",IFERROR(INDEX('DM_NoiCongTac'!$B$2:$B$11,AGGREGATE(15,6,ROW('DM_NoiCongTac'!$B$2:$B$11)-ROW('DM_NoiCongTac'!$B$2)+1/ISNUMBER(SEARCH(SUBSTITUTE(UPPER($U230)," ",""),'DM_NoiCongTac'!$C$2:$C$11)),1)),"Không tìm thấy"))</f>
        <v/>
      </c>
      <c r="AF230" s="5">
        <f>IF($V230="","",IFERROR(INDEX('DM_XaPhuong'!$B$2:$B$169,AGGREGATE(15,6,ROW('DM_XaPhuong'!$B$2:$B$169)-ROW('DM_XaPhuong'!$B$2)+1/ISNUMBER(SEARCH(SUBSTITUTE(UPPER($V230)," ",""),'DM_XaPhuong'!$C$2:$C$169)),1)),"Không tìm thấy"))</f>
        <v/>
      </c>
    </row>
    <row r="231">
      <c r="C231" s="5">
        <f>IF($B231="","",IFERROR(INDEX('DM_DoiTuong'!$B$2:$B$19,AGGREGATE(15,6,ROW('DM_DoiTuong'!$B$2:$B$19)-ROW('DM_DoiTuong'!$B$2)+1/ISNUMBER(SEARCH(SUBSTITUTE(UPPER($B231)," ",""),'DM_DoiTuong'!$C$2:$C$19)),1)),"Không tìm thấy"))</f>
        <v/>
      </c>
      <c r="E231" s="5">
        <f>IF($C231="","",IFERROR(INDEX('DM_DiaDiemKham'!$B$2:$B$6,AGGREGATE(15,6,ROW('DM_DiaDiemKham'!$B$2:$B$6)-ROW('DM_DiaDiemKham'!$B$2)+1/ISNUMBER(SEARCH(SUBSTITUTE(UPPER($C231)," ",""),'DM_DiaDiemKham'!$C$2:$C$6)),1)),"Không tìm thấy"))</f>
        <v/>
      </c>
      <c r="G231" s="5">
        <f>IF($D231="","",IFERROR(INDEX('DM_HinhThucChiTra'!$B$2:$B$5,AGGREGATE(15,6,ROW('DM_HinhThucChiTra'!$B$2:$B$5)-ROW('DM_HinhThucChiTra'!$B$2)+1/ISNUMBER(SEARCH(SUBSTITUTE(UPPER($D231)," ",""),'DM_HinhThucChiTra'!$C$2:$C$5)),1)),"Không tìm thấy"))</f>
        <v/>
      </c>
      <c r="I231" s="5">
        <f>IF($E231="","",IFERROR(INDEX('DM_HinhThucKham'!$B$2:$B$3,AGGREGATE(15,6,ROW('DM_HinhThucKham'!$B$2:$B$3)-ROW('DM_HinhThucKham'!$B$2)+1/ISNUMBER(SEARCH(SUBSTITUTE(UPPER($E231)," ",""),'DM_HinhThucKham'!$C$2:$C$3)),1)),"Không tìm thấy"))</f>
        <v/>
      </c>
      <c r="P231" s="5">
        <f>IF($K231="","",IFERROR(INDEX('DM_DanToc'!$B$2:$B$78,AGGREGATE(15,6,ROW('DM_DanToc'!$B$2:$B$78)-ROW('DM_DanToc'!$B$2)+1/ISNUMBER(SEARCH(SUBSTITUTE(UPPER($K231)," ",""),'DM_DanToc'!$C$2:$C$78)),1)),"Không tìm thấy"))</f>
        <v/>
      </c>
      <c r="W231" s="5">
        <f>IF($Q231="","",IFERROR(INDEX('DM_TinhThanh'!$B$2:$B$35,AGGREGATE(15,6,ROW('DM_TinhThanh'!$B$2:$B$35)-ROW('DM_TinhThanh'!$B$2)+1/ISNUMBER(SEARCH(SUBSTITUTE(UPPER($Q231)," ",""),'DM_TinhThanh'!$C$2:$C$35)),1)),"Không tìm thấy"))</f>
        <v/>
      </c>
      <c r="Y231" s="5">
        <f>IF($R231="","",IFERROR(INDEX('DM_XaPhuong'!$B$2:$B$169,AGGREGATE(15,6,ROW('DM_XaPhuong'!$B$2:$B$169)-ROW('DM_XaPhuong'!$B$2)+1/ISNUMBER(SEARCH(SUBSTITUTE(UPPER($R231)," ",""),'DM_XaPhuong'!$C$2:$C$169)),1)),"Không tìm thấy"))</f>
        <v/>
      </c>
      <c r="AB231" s="5">
        <f>IF($T231="","",IFERROR(INDEX('DM_NgheNghiep'!$B$2:$B$11,AGGREGATE(15,6,ROW('DM_NgheNghiep'!$B$2:$B$11)-ROW('DM_NgheNghiep'!$B$2)+1/ISNUMBER(SEARCH(SUBSTITUTE(UPPER($T231)," ",""),'DM_NgheNghiep'!$C$2:$C$11)),1)),"Không tìm thấy"))</f>
        <v/>
      </c>
      <c r="AD231" s="5">
        <f>IF($U231="","",IFERROR(INDEX('DM_NoiCongTac'!$B$2:$B$11,AGGREGATE(15,6,ROW('DM_NoiCongTac'!$B$2:$B$11)-ROW('DM_NoiCongTac'!$B$2)+1/ISNUMBER(SEARCH(SUBSTITUTE(UPPER($U231)," ",""),'DM_NoiCongTac'!$C$2:$C$11)),1)),"Không tìm thấy"))</f>
        <v/>
      </c>
      <c r="AF231" s="5">
        <f>IF($V231="","",IFERROR(INDEX('DM_XaPhuong'!$B$2:$B$169,AGGREGATE(15,6,ROW('DM_XaPhuong'!$B$2:$B$169)-ROW('DM_XaPhuong'!$B$2)+1/ISNUMBER(SEARCH(SUBSTITUTE(UPPER($V231)," ",""),'DM_XaPhuong'!$C$2:$C$169)),1)),"Không tìm thấy"))</f>
        <v/>
      </c>
    </row>
    <row r="232">
      <c r="C232" s="5">
        <f>IF($B232="","",IFERROR(INDEX('DM_DoiTuong'!$B$2:$B$19,AGGREGATE(15,6,ROW('DM_DoiTuong'!$B$2:$B$19)-ROW('DM_DoiTuong'!$B$2)+1/ISNUMBER(SEARCH(SUBSTITUTE(UPPER($B232)," ",""),'DM_DoiTuong'!$C$2:$C$19)),1)),"Không tìm thấy"))</f>
        <v/>
      </c>
      <c r="E232" s="5">
        <f>IF($C232="","",IFERROR(INDEX('DM_DiaDiemKham'!$B$2:$B$6,AGGREGATE(15,6,ROW('DM_DiaDiemKham'!$B$2:$B$6)-ROW('DM_DiaDiemKham'!$B$2)+1/ISNUMBER(SEARCH(SUBSTITUTE(UPPER($C232)," ",""),'DM_DiaDiemKham'!$C$2:$C$6)),1)),"Không tìm thấy"))</f>
        <v/>
      </c>
      <c r="G232" s="5">
        <f>IF($D232="","",IFERROR(INDEX('DM_HinhThucChiTra'!$B$2:$B$5,AGGREGATE(15,6,ROW('DM_HinhThucChiTra'!$B$2:$B$5)-ROW('DM_HinhThucChiTra'!$B$2)+1/ISNUMBER(SEARCH(SUBSTITUTE(UPPER($D232)," ",""),'DM_HinhThucChiTra'!$C$2:$C$5)),1)),"Không tìm thấy"))</f>
        <v/>
      </c>
      <c r="I232" s="5">
        <f>IF($E232="","",IFERROR(INDEX('DM_HinhThucKham'!$B$2:$B$3,AGGREGATE(15,6,ROW('DM_HinhThucKham'!$B$2:$B$3)-ROW('DM_HinhThucKham'!$B$2)+1/ISNUMBER(SEARCH(SUBSTITUTE(UPPER($E232)," ",""),'DM_HinhThucKham'!$C$2:$C$3)),1)),"Không tìm thấy"))</f>
        <v/>
      </c>
      <c r="P232" s="5">
        <f>IF($K232="","",IFERROR(INDEX('DM_DanToc'!$B$2:$B$78,AGGREGATE(15,6,ROW('DM_DanToc'!$B$2:$B$78)-ROW('DM_DanToc'!$B$2)+1/ISNUMBER(SEARCH(SUBSTITUTE(UPPER($K232)," ",""),'DM_DanToc'!$C$2:$C$78)),1)),"Không tìm thấy"))</f>
        <v/>
      </c>
      <c r="W232" s="5">
        <f>IF($Q232="","",IFERROR(INDEX('DM_TinhThanh'!$B$2:$B$35,AGGREGATE(15,6,ROW('DM_TinhThanh'!$B$2:$B$35)-ROW('DM_TinhThanh'!$B$2)+1/ISNUMBER(SEARCH(SUBSTITUTE(UPPER($Q232)," ",""),'DM_TinhThanh'!$C$2:$C$35)),1)),"Không tìm thấy"))</f>
        <v/>
      </c>
      <c r="Y232" s="5">
        <f>IF($R232="","",IFERROR(INDEX('DM_XaPhuong'!$B$2:$B$169,AGGREGATE(15,6,ROW('DM_XaPhuong'!$B$2:$B$169)-ROW('DM_XaPhuong'!$B$2)+1/ISNUMBER(SEARCH(SUBSTITUTE(UPPER($R232)," ",""),'DM_XaPhuong'!$C$2:$C$169)),1)),"Không tìm thấy"))</f>
        <v/>
      </c>
      <c r="AB232" s="5">
        <f>IF($T232="","",IFERROR(INDEX('DM_NgheNghiep'!$B$2:$B$11,AGGREGATE(15,6,ROW('DM_NgheNghiep'!$B$2:$B$11)-ROW('DM_NgheNghiep'!$B$2)+1/ISNUMBER(SEARCH(SUBSTITUTE(UPPER($T232)," ",""),'DM_NgheNghiep'!$C$2:$C$11)),1)),"Không tìm thấy"))</f>
        <v/>
      </c>
      <c r="AD232" s="5">
        <f>IF($U232="","",IFERROR(INDEX('DM_NoiCongTac'!$B$2:$B$11,AGGREGATE(15,6,ROW('DM_NoiCongTac'!$B$2:$B$11)-ROW('DM_NoiCongTac'!$B$2)+1/ISNUMBER(SEARCH(SUBSTITUTE(UPPER($U232)," ",""),'DM_NoiCongTac'!$C$2:$C$11)),1)),"Không tìm thấy"))</f>
        <v/>
      </c>
      <c r="AF232" s="5">
        <f>IF($V232="","",IFERROR(INDEX('DM_XaPhuong'!$B$2:$B$169,AGGREGATE(15,6,ROW('DM_XaPhuong'!$B$2:$B$169)-ROW('DM_XaPhuong'!$B$2)+1/ISNUMBER(SEARCH(SUBSTITUTE(UPPER($V232)," ",""),'DM_XaPhuong'!$C$2:$C$169)),1)),"Không tìm thấy"))</f>
        <v/>
      </c>
    </row>
    <row r="233">
      <c r="C233" s="5">
        <f>IF($B233="","",IFERROR(INDEX('DM_DoiTuong'!$B$2:$B$19,AGGREGATE(15,6,ROW('DM_DoiTuong'!$B$2:$B$19)-ROW('DM_DoiTuong'!$B$2)+1/ISNUMBER(SEARCH(SUBSTITUTE(UPPER($B233)," ",""),'DM_DoiTuong'!$C$2:$C$19)),1)),"Không tìm thấy"))</f>
        <v/>
      </c>
      <c r="E233" s="5">
        <f>IF($C233="","",IFERROR(INDEX('DM_DiaDiemKham'!$B$2:$B$6,AGGREGATE(15,6,ROW('DM_DiaDiemKham'!$B$2:$B$6)-ROW('DM_DiaDiemKham'!$B$2)+1/ISNUMBER(SEARCH(SUBSTITUTE(UPPER($C233)," ",""),'DM_DiaDiemKham'!$C$2:$C$6)),1)),"Không tìm thấy"))</f>
        <v/>
      </c>
      <c r="G233" s="5">
        <f>IF($D233="","",IFERROR(INDEX('DM_HinhThucChiTra'!$B$2:$B$5,AGGREGATE(15,6,ROW('DM_HinhThucChiTra'!$B$2:$B$5)-ROW('DM_HinhThucChiTra'!$B$2)+1/ISNUMBER(SEARCH(SUBSTITUTE(UPPER($D233)," ",""),'DM_HinhThucChiTra'!$C$2:$C$5)),1)),"Không tìm thấy"))</f>
        <v/>
      </c>
      <c r="I233" s="5">
        <f>IF($E233="","",IFERROR(INDEX('DM_HinhThucKham'!$B$2:$B$3,AGGREGATE(15,6,ROW('DM_HinhThucKham'!$B$2:$B$3)-ROW('DM_HinhThucKham'!$B$2)+1/ISNUMBER(SEARCH(SUBSTITUTE(UPPER($E233)," ",""),'DM_HinhThucKham'!$C$2:$C$3)),1)),"Không tìm thấy"))</f>
        <v/>
      </c>
      <c r="P233" s="5">
        <f>IF($K233="","",IFERROR(INDEX('DM_DanToc'!$B$2:$B$78,AGGREGATE(15,6,ROW('DM_DanToc'!$B$2:$B$78)-ROW('DM_DanToc'!$B$2)+1/ISNUMBER(SEARCH(SUBSTITUTE(UPPER($K233)," ",""),'DM_DanToc'!$C$2:$C$78)),1)),"Không tìm thấy"))</f>
        <v/>
      </c>
      <c r="W233" s="5">
        <f>IF($Q233="","",IFERROR(INDEX('DM_TinhThanh'!$B$2:$B$35,AGGREGATE(15,6,ROW('DM_TinhThanh'!$B$2:$B$35)-ROW('DM_TinhThanh'!$B$2)+1/ISNUMBER(SEARCH(SUBSTITUTE(UPPER($Q233)," ",""),'DM_TinhThanh'!$C$2:$C$35)),1)),"Không tìm thấy"))</f>
        <v/>
      </c>
      <c r="Y233" s="5">
        <f>IF($R233="","",IFERROR(INDEX('DM_XaPhuong'!$B$2:$B$169,AGGREGATE(15,6,ROW('DM_XaPhuong'!$B$2:$B$169)-ROW('DM_XaPhuong'!$B$2)+1/ISNUMBER(SEARCH(SUBSTITUTE(UPPER($R233)," ",""),'DM_XaPhuong'!$C$2:$C$169)),1)),"Không tìm thấy"))</f>
        <v/>
      </c>
      <c r="AB233" s="5">
        <f>IF($T233="","",IFERROR(INDEX('DM_NgheNghiep'!$B$2:$B$11,AGGREGATE(15,6,ROW('DM_NgheNghiep'!$B$2:$B$11)-ROW('DM_NgheNghiep'!$B$2)+1/ISNUMBER(SEARCH(SUBSTITUTE(UPPER($T233)," ",""),'DM_NgheNghiep'!$C$2:$C$11)),1)),"Không tìm thấy"))</f>
        <v/>
      </c>
      <c r="AD233" s="5">
        <f>IF($U233="","",IFERROR(INDEX('DM_NoiCongTac'!$B$2:$B$11,AGGREGATE(15,6,ROW('DM_NoiCongTac'!$B$2:$B$11)-ROW('DM_NoiCongTac'!$B$2)+1/ISNUMBER(SEARCH(SUBSTITUTE(UPPER($U233)," ",""),'DM_NoiCongTac'!$C$2:$C$11)),1)),"Không tìm thấy"))</f>
        <v/>
      </c>
      <c r="AF233" s="5">
        <f>IF($V233="","",IFERROR(INDEX('DM_XaPhuong'!$B$2:$B$169,AGGREGATE(15,6,ROW('DM_XaPhuong'!$B$2:$B$169)-ROW('DM_XaPhuong'!$B$2)+1/ISNUMBER(SEARCH(SUBSTITUTE(UPPER($V233)," ",""),'DM_XaPhuong'!$C$2:$C$169)),1)),"Không tìm thấy"))</f>
        <v/>
      </c>
    </row>
    <row r="234">
      <c r="C234" s="5">
        <f>IF($B234="","",IFERROR(INDEX('DM_DoiTuong'!$B$2:$B$19,AGGREGATE(15,6,ROW('DM_DoiTuong'!$B$2:$B$19)-ROW('DM_DoiTuong'!$B$2)+1/ISNUMBER(SEARCH(SUBSTITUTE(UPPER($B234)," ",""),'DM_DoiTuong'!$C$2:$C$19)),1)),"Không tìm thấy"))</f>
        <v/>
      </c>
      <c r="E234" s="5">
        <f>IF($C234="","",IFERROR(INDEX('DM_DiaDiemKham'!$B$2:$B$6,AGGREGATE(15,6,ROW('DM_DiaDiemKham'!$B$2:$B$6)-ROW('DM_DiaDiemKham'!$B$2)+1/ISNUMBER(SEARCH(SUBSTITUTE(UPPER($C234)," ",""),'DM_DiaDiemKham'!$C$2:$C$6)),1)),"Không tìm thấy"))</f>
        <v/>
      </c>
      <c r="G234" s="5">
        <f>IF($D234="","",IFERROR(INDEX('DM_HinhThucChiTra'!$B$2:$B$5,AGGREGATE(15,6,ROW('DM_HinhThucChiTra'!$B$2:$B$5)-ROW('DM_HinhThucChiTra'!$B$2)+1/ISNUMBER(SEARCH(SUBSTITUTE(UPPER($D234)," ",""),'DM_HinhThucChiTra'!$C$2:$C$5)),1)),"Không tìm thấy"))</f>
        <v/>
      </c>
      <c r="I234" s="5">
        <f>IF($E234="","",IFERROR(INDEX('DM_HinhThucKham'!$B$2:$B$3,AGGREGATE(15,6,ROW('DM_HinhThucKham'!$B$2:$B$3)-ROW('DM_HinhThucKham'!$B$2)+1/ISNUMBER(SEARCH(SUBSTITUTE(UPPER($E234)," ",""),'DM_HinhThucKham'!$C$2:$C$3)),1)),"Không tìm thấy"))</f>
        <v/>
      </c>
      <c r="P234" s="5">
        <f>IF($K234="","",IFERROR(INDEX('DM_DanToc'!$B$2:$B$78,AGGREGATE(15,6,ROW('DM_DanToc'!$B$2:$B$78)-ROW('DM_DanToc'!$B$2)+1/ISNUMBER(SEARCH(SUBSTITUTE(UPPER($K234)," ",""),'DM_DanToc'!$C$2:$C$78)),1)),"Không tìm thấy"))</f>
        <v/>
      </c>
      <c r="W234" s="5">
        <f>IF($Q234="","",IFERROR(INDEX('DM_TinhThanh'!$B$2:$B$35,AGGREGATE(15,6,ROW('DM_TinhThanh'!$B$2:$B$35)-ROW('DM_TinhThanh'!$B$2)+1/ISNUMBER(SEARCH(SUBSTITUTE(UPPER($Q234)," ",""),'DM_TinhThanh'!$C$2:$C$35)),1)),"Không tìm thấy"))</f>
        <v/>
      </c>
      <c r="Y234" s="5">
        <f>IF($R234="","",IFERROR(INDEX('DM_XaPhuong'!$B$2:$B$169,AGGREGATE(15,6,ROW('DM_XaPhuong'!$B$2:$B$169)-ROW('DM_XaPhuong'!$B$2)+1/ISNUMBER(SEARCH(SUBSTITUTE(UPPER($R234)," ",""),'DM_XaPhuong'!$C$2:$C$169)),1)),"Không tìm thấy"))</f>
        <v/>
      </c>
      <c r="AB234" s="5">
        <f>IF($T234="","",IFERROR(INDEX('DM_NgheNghiep'!$B$2:$B$11,AGGREGATE(15,6,ROW('DM_NgheNghiep'!$B$2:$B$11)-ROW('DM_NgheNghiep'!$B$2)+1/ISNUMBER(SEARCH(SUBSTITUTE(UPPER($T234)," ",""),'DM_NgheNghiep'!$C$2:$C$11)),1)),"Không tìm thấy"))</f>
        <v/>
      </c>
      <c r="AD234" s="5">
        <f>IF($U234="","",IFERROR(INDEX('DM_NoiCongTac'!$B$2:$B$11,AGGREGATE(15,6,ROW('DM_NoiCongTac'!$B$2:$B$11)-ROW('DM_NoiCongTac'!$B$2)+1/ISNUMBER(SEARCH(SUBSTITUTE(UPPER($U234)," ",""),'DM_NoiCongTac'!$C$2:$C$11)),1)),"Không tìm thấy"))</f>
        <v/>
      </c>
      <c r="AF234" s="5">
        <f>IF($V234="","",IFERROR(INDEX('DM_XaPhuong'!$B$2:$B$169,AGGREGATE(15,6,ROW('DM_XaPhuong'!$B$2:$B$169)-ROW('DM_XaPhuong'!$B$2)+1/ISNUMBER(SEARCH(SUBSTITUTE(UPPER($V234)," ",""),'DM_XaPhuong'!$C$2:$C$169)),1)),"Không tìm thấy"))</f>
        <v/>
      </c>
    </row>
    <row r="235">
      <c r="C235" s="5">
        <f>IF($B235="","",IFERROR(INDEX('DM_DoiTuong'!$B$2:$B$19,AGGREGATE(15,6,ROW('DM_DoiTuong'!$B$2:$B$19)-ROW('DM_DoiTuong'!$B$2)+1/ISNUMBER(SEARCH(SUBSTITUTE(UPPER($B235)," ",""),'DM_DoiTuong'!$C$2:$C$19)),1)),"Không tìm thấy"))</f>
        <v/>
      </c>
      <c r="E235" s="5">
        <f>IF($C235="","",IFERROR(INDEX('DM_DiaDiemKham'!$B$2:$B$6,AGGREGATE(15,6,ROW('DM_DiaDiemKham'!$B$2:$B$6)-ROW('DM_DiaDiemKham'!$B$2)+1/ISNUMBER(SEARCH(SUBSTITUTE(UPPER($C235)," ",""),'DM_DiaDiemKham'!$C$2:$C$6)),1)),"Không tìm thấy"))</f>
        <v/>
      </c>
      <c r="G235" s="5">
        <f>IF($D235="","",IFERROR(INDEX('DM_HinhThucChiTra'!$B$2:$B$5,AGGREGATE(15,6,ROW('DM_HinhThucChiTra'!$B$2:$B$5)-ROW('DM_HinhThucChiTra'!$B$2)+1/ISNUMBER(SEARCH(SUBSTITUTE(UPPER($D235)," ",""),'DM_HinhThucChiTra'!$C$2:$C$5)),1)),"Không tìm thấy"))</f>
        <v/>
      </c>
      <c r="I235" s="5">
        <f>IF($E235="","",IFERROR(INDEX('DM_HinhThucKham'!$B$2:$B$3,AGGREGATE(15,6,ROW('DM_HinhThucKham'!$B$2:$B$3)-ROW('DM_HinhThucKham'!$B$2)+1/ISNUMBER(SEARCH(SUBSTITUTE(UPPER($E235)," ",""),'DM_HinhThucKham'!$C$2:$C$3)),1)),"Không tìm thấy"))</f>
        <v/>
      </c>
      <c r="P235" s="5">
        <f>IF($K235="","",IFERROR(INDEX('DM_DanToc'!$B$2:$B$78,AGGREGATE(15,6,ROW('DM_DanToc'!$B$2:$B$78)-ROW('DM_DanToc'!$B$2)+1/ISNUMBER(SEARCH(SUBSTITUTE(UPPER($K235)," ",""),'DM_DanToc'!$C$2:$C$78)),1)),"Không tìm thấy"))</f>
        <v/>
      </c>
      <c r="W235" s="5">
        <f>IF($Q235="","",IFERROR(INDEX('DM_TinhThanh'!$B$2:$B$35,AGGREGATE(15,6,ROW('DM_TinhThanh'!$B$2:$B$35)-ROW('DM_TinhThanh'!$B$2)+1/ISNUMBER(SEARCH(SUBSTITUTE(UPPER($Q235)," ",""),'DM_TinhThanh'!$C$2:$C$35)),1)),"Không tìm thấy"))</f>
        <v/>
      </c>
      <c r="Y235" s="5">
        <f>IF($R235="","",IFERROR(INDEX('DM_XaPhuong'!$B$2:$B$169,AGGREGATE(15,6,ROW('DM_XaPhuong'!$B$2:$B$169)-ROW('DM_XaPhuong'!$B$2)+1/ISNUMBER(SEARCH(SUBSTITUTE(UPPER($R235)," ",""),'DM_XaPhuong'!$C$2:$C$169)),1)),"Không tìm thấy"))</f>
        <v/>
      </c>
      <c r="AB235" s="5">
        <f>IF($T235="","",IFERROR(INDEX('DM_NgheNghiep'!$B$2:$B$11,AGGREGATE(15,6,ROW('DM_NgheNghiep'!$B$2:$B$11)-ROW('DM_NgheNghiep'!$B$2)+1/ISNUMBER(SEARCH(SUBSTITUTE(UPPER($T235)," ",""),'DM_NgheNghiep'!$C$2:$C$11)),1)),"Không tìm thấy"))</f>
        <v/>
      </c>
      <c r="AD235" s="5">
        <f>IF($U235="","",IFERROR(INDEX('DM_NoiCongTac'!$B$2:$B$11,AGGREGATE(15,6,ROW('DM_NoiCongTac'!$B$2:$B$11)-ROW('DM_NoiCongTac'!$B$2)+1/ISNUMBER(SEARCH(SUBSTITUTE(UPPER($U235)," ",""),'DM_NoiCongTac'!$C$2:$C$11)),1)),"Không tìm thấy"))</f>
        <v/>
      </c>
      <c r="AF235" s="5">
        <f>IF($V235="","",IFERROR(INDEX('DM_XaPhuong'!$B$2:$B$169,AGGREGATE(15,6,ROW('DM_XaPhuong'!$B$2:$B$169)-ROW('DM_XaPhuong'!$B$2)+1/ISNUMBER(SEARCH(SUBSTITUTE(UPPER($V235)," ",""),'DM_XaPhuong'!$C$2:$C$169)),1)),"Không tìm thấy"))</f>
        <v/>
      </c>
    </row>
    <row r="236">
      <c r="C236" s="5">
        <f>IF($B236="","",IFERROR(INDEX('DM_DoiTuong'!$B$2:$B$19,AGGREGATE(15,6,ROW('DM_DoiTuong'!$B$2:$B$19)-ROW('DM_DoiTuong'!$B$2)+1/ISNUMBER(SEARCH(SUBSTITUTE(UPPER($B236)," ",""),'DM_DoiTuong'!$C$2:$C$19)),1)),"Không tìm thấy"))</f>
        <v/>
      </c>
      <c r="E236" s="5">
        <f>IF($C236="","",IFERROR(INDEX('DM_DiaDiemKham'!$B$2:$B$6,AGGREGATE(15,6,ROW('DM_DiaDiemKham'!$B$2:$B$6)-ROW('DM_DiaDiemKham'!$B$2)+1/ISNUMBER(SEARCH(SUBSTITUTE(UPPER($C236)," ",""),'DM_DiaDiemKham'!$C$2:$C$6)),1)),"Không tìm thấy"))</f>
        <v/>
      </c>
      <c r="G236" s="5">
        <f>IF($D236="","",IFERROR(INDEX('DM_HinhThucChiTra'!$B$2:$B$5,AGGREGATE(15,6,ROW('DM_HinhThucChiTra'!$B$2:$B$5)-ROW('DM_HinhThucChiTra'!$B$2)+1/ISNUMBER(SEARCH(SUBSTITUTE(UPPER($D236)," ",""),'DM_HinhThucChiTra'!$C$2:$C$5)),1)),"Không tìm thấy"))</f>
        <v/>
      </c>
      <c r="I236" s="5">
        <f>IF($E236="","",IFERROR(INDEX('DM_HinhThucKham'!$B$2:$B$3,AGGREGATE(15,6,ROW('DM_HinhThucKham'!$B$2:$B$3)-ROW('DM_HinhThucKham'!$B$2)+1/ISNUMBER(SEARCH(SUBSTITUTE(UPPER($E236)," ",""),'DM_HinhThucKham'!$C$2:$C$3)),1)),"Không tìm thấy"))</f>
        <v/>
      </c>
      <c r="P236" s="5">
        <f>IF($K236="","",IFERROR(INDEX('DM_DanToc'!$B$2:$B$78,AGGREGATE(15,6,ROW('DM_DanToc'!$B$2:$B$78)-ROW('DM_DanToc'!$B$2)+1/ISNUMBER(SEARCH(SUBSTITUTE(UPPER($K236)," ",""),'DM_DanToc'!$C$2:$C$78)),1)),"Không tìm thấy"))</f>
        <v/>
      </c>
      <c r="W236" s="5">
        <f>IF($Q236="","",IFERROR(INDEX('DM_TinhThanh'!$B$2:$B$35,AGGREGATE(15,6,ROW('DM_TinhThanh'!$B$2:$B$35)-ROW('DM_TinhThanh'!$B$2)+1/ISNUMBER(SEARCH(SUBSTITUTE(UPPER($Q236)," ",""),'DM_TinhThanh'!$C$2:$C$35)),1)),"Không tìm thấy"))</f>
        <v/>
      </c>
      <c r="Y236" s="5">
        <f>IF($R236="","",IFERROR(INDEX('DM_XaPhuong'!$B$2:$B$169,AGGREGATE(15,6,ROW('DM_XaPhuong'!$B$2:$B$169)-ROW('DM_XaPhuong'!$B$2)+1/ISNUMBER(SEARCH(SUBSTITUTE(UPPER($R236)," ",""),'DM_XaPhuong'!$C$2:$C$169)),1)),"Không tìm thấy"))</f>
        <v/>
      </c>
      <c r="AB236" s="5">
        <f>IF($T236="","",IFERROR(INDEX('DM_NgheNghiep'!$B$2:$B$11,AGGREGATE(15,6,ROW('DM_NgheNghiep'!$B$2:$B$11)-ROW('DM_NgheNghiep'!$B$2)+1/ISNUMBER(SEARCH(SUBSTITUTE(UPPER($T236)," ",""),'DM_NgheNghiep'!$C$2:$C$11)),1)),"Không tìm thấy"))</f>
        <v/>
      </c>
      <c r="AD236" s="5">
        <f>IF($U236="","",IFERROR(INDEX('DM_NoiCongTac'!$B$2:$B$11,AGGREGATE(15,6,ROW('DM_NoiCongTac'!$B$2:$B$11)-ROW('DM_NoiCongTac'!$B$2)+1/ISNUMBER(SEARCH(SUBSTITUTE(UPPER($U236)," ",""),'DM_NoiCongTac'!$C$2:$C$11)),1)),"Không tìm thấy"))</f>
        <v/>
      </c>
      <c r="AF236" s="5">
        <f>IF($V236="","",IFERROR(INDEX('DM_XaPhuong'!$B$2:$B$169,AGGREGATE(15,6,ROW('DM_XaPhuong'!$B$2:$B$169)-ROW('DM_XaPhuong'!$B$2)+1/ISNUMBER(SEARCH(SUBSTITUTE(UPPER($V236)," ",""),'DM_XaPhuong'!$C$2:$C$169)),1)),"Không tìm thấy"))</f>
        <v/>
      </c>
    </row>
    <row r="237">
      <c r="C237" s="5">
        <f>IF($B237="","",IFERROR(INDEX('DM_DoiTuong'!$B$2:$B$19,AGGREGATE(15,6,ROW('DM_DoiTuong'!$B$2:$B$19)-ROW('DM_DoiTuong'!$B$2)+1/ISNUMBER(SEARCH(SUBSTITUTE(UPPER($B237)," ",""),'DM_DoiTuong'!$C$2:$C$19)),1)),"Không tìm thấy"))</f>
        <v/>
      </c>
      <c r="E237" s="5">
        <f>IF($C237="","",IFERROR(INDEX('DM_DiaDiemKham'!$B$2:$B$6,AGGREGATE(15,6,ROW('DM_DiaDiemKham'!$B$2:$B$6)-ROW('DM_DiaDiemKham'!$B$2)+1/ISNUMBER(SEARCH(SUBSTITUTE(UPPER($C237)," ",""),'DM_DiaDiemKham'!$C$2:$C$6)),1)),"Không tìm thấy"))</f>
        <v/>
      </c>
      <c r="G237" s="5">
        <f>IF($D237="","",IFERROR(INDEX('DM_HinhThucChiTra'!$B$2:$B$5,AGGREGATE(15,6,ROW('DM_HinhThucChiTra'!$B$2:$B$5)-ROW('DM_HinhThucChiTra'!$B$2)+1/ISNUMBER(SEARCH(SUBSTITUTE(UPPER($D237)," ",""),'DM_HinhThucChiTra'!$C$2:$C$5)),1)),"Không tìm thấy"))</f>
        <v/>
      </c>
      <c r="I237" s="5">
        <f>IF($E237="","",IFERROR(INDEX('DM_HinhThucKham'!$B$2:$B$3,AGGREGATE(15,6,ROW('DM_HinhThucKham'!$B$2:$B$3)-ROW('DM_HinhThucKham'!$B$2)+1/ISNUMBER(SEARCH(SUBSTITUTE(UPPER($E237)," ",""),'DM_HinhThucKham'!$C$2:$C$3)),1)),"Không tìm thấy"))</f>
        <v/>
      </c>
      <c r="P237" s="5">
        <f>IF($K237="","",IFERROR(INDEX('DM_DanToc'!$B$2:$B$78,AGGREGATE(15,6,ROW('DM_DanToc'!$B$2:$B$78)-ROW('DM_DanToc'!$B$2)+1/ISNUMBER(SEARCH(SUBSTITUTE(UPPER($K237)," ",""),'DM_DanToc'!$C$2:$C$78)),1)),"Không tìm thấy"))</f>
        <v/>
      </c>
      <c r="W237" s="5">
        <f>IF($Q237="","",IFERROR(INDEX('DM_TinhThanh'!$B$2:$B$35,AGGREGATE(15,6,ROW('DM_TinhThanh'!$B$2:$B$35)-ROW('DM_TinhThanh'!$B$2)+1/ISNUMBER(SEARCH(SUBSTITUTE(UPPER($Q237)," ",""),'DM_TinhThanh'!$C$2:$C$35)),1)),"Không tìm thấy"))</f>
        <v/>
      </c>
      <c r="Y237" s="5">
        <f>IF($R237="","",IFERROR(INDEX('DM_XaPhuong'!$B$2:$B$169,AGGREGATE(15,6,ROW('DM_XaPhuong'!$B$2:$B$169)-ROW('DM_XaPhuong'!$B$2)+1/ISNUMBER(SEARCH(SUBSTITUTE(UPPER($R237)," ",""),'DM_XaPhuong'!$C$2:$C$169)),1)),"Không tìm thấy"))</f>
        <v/>
      </c>
      <c r="AB237" s="5">
        <f>IF($T237="","",IFERROR(INDEX('DM_NgheNghiep'!$B$2:$B$11,AGGREGATE(15,6,ROW('DM_NgheNghiep'!$B$2:$B$11)-ROW('DM_NgheNghiep'!$B$2)+1/ISNUMBER(SEARCH(SUBSTITUTE(UPPER($T237)," ",""),'DM_NgheNghiep'!$C$2:$C$11)),1)),"Không tìm thấy"))</f>
        <v/>
      </c>
      <c r="AD237" s="5">
        <f>IF($U237="","",IFERROR(INDEX('DM_NoiCongTac'!$B$2:$B$11,AGGREGATE(15,6,ROW('DM_NoiCongTac'!$B$2:$B$11)-ROW('DM_NoiCongTac'!$B$2)+1/ISNUMBER(SEARCH(SUBSTITUTE(UPPER($U237)," ",""),'DM_NoiCongTac'!$C$2:$C$11)),1)),"Không tìm thấy"))</f>
        <v/>
      </c>
      <c r="AF237" s="5">
        <f>IF($V237="","",IFERROR(INDEX('DM_XaPhuong'!$B$2:$B$169,AGGREGATE(15,6,ROW('DM_XaPhuong'!$B$2:$B$169)-ROW('DM_XaPhuong'!$B$2)+1/ISNUMBER(SEARCH(SUBSTITUTE(UPPER($V237)," ",""),'DM_XaPhuong'!$C$2:$C$169)),1)),"Không tìm thấy"))</f>
        <v/>
      </c>
    </row>
    <row r="238">
      <c r="C238" s="5">
        <f>IF($B238="","",IFERROR(INDEX('DM_DoiTuong'!$B$2:$B$19,AGGREGATE(15,6,ROW('DM_DoiTuong'!$B$2:$B$19)-ROW('DM_DoiTuong'!$B$2)+1/ISNUMBER(SEARCH(SUBSTITUTE(UPPER($B238)," ",""),'DM_DoiTuong'!$C$2:$C$19)),1)),"Không tìm thấy"))</f>
        <v/>
      </c>
      <c r="E238" s="5">
        <f>IF($C238="","",IFERROR(INDEX('DM_DiaDiemKham'!$B$2:$B$6,AGGREGATE(15,6,ROW('DM_DiaDiemKham'!$B$2:$B$6)-ROW('DM_DiaDiemKham'!$B$2)+1/ISNUMBER(SEARCH(SUBSTITUTE(UPPER($C238)," ",""),'DM_DiaDiemKham'!$C$2:$C$6)),1)),"Không tìm thấy"))</f>
        <v/>
      </c>
      <c r="G238" s="5">
        <f>IF($D238="","",IFERROR(INDEX('DM_HinhThucChiTra'!$B$2:$B$5,AGGREGATE(15,6,ROW('DM_HinhThucChiTra'!$B$2:$B$5)-ROW('DM_HinhThucChiTra'!$B$2)+1/ISNUMBER(SEARCH(SUBSTITUTE(UPPER($D238)," ",""),'DM_HinhThucChiTra'!$C$2:$C$5)),1)),"Không tìm thấy"))</f>
        <v/>
      </c>
      <c r="I238" s="5">
        <f>IF($E238="","",IFERROR(INDEX('DM_HinhThucKham'!$B$2:$B$3,AGGREGATE(15,6,ROW('DM_HinhThucKham'!$B$2:$B$3)-ROW('DM_HinhThucKham'!$B$2)+1/ISNUMBER(SEARCH(SUBSTITUTE(UPPER($E238)," ",""),'DM_HinhThucKham'!$C$2:$C$3)),1)),"Không tìm thấy"))</f>
        <v/>
      </c>
      <c r="P238" s="5">
        <f>IF($K238="","",IFERROR(INDEX('DM_DanToc'!$B$2:$B$78,AGGREGATE(15,6,ROW('DM_DanToc'!$B$2:$B$78)-ROW('DM_DanToc'!$B$2)+1/ISNUMBER(SEARCH(SUBSTITUTE(UPPER($K238)," ",""),'DM_DanToc'!$C$2:$C$78)),1)),"Không tìm thấy"))</f>
        <v/>
      </c>
      <c r="W238" s="5">
        <f>IF($Q238="","",IFERROR(INDEX('DM_TinhThanh'!$B$2:$B$35,AGGREGATE(15,6,ROW('DM_TinhThanh'!$B$2:$B$35)-ROW('DM_TinhThanh'!$B$2)+1/ISNUMBER(SEARCH(SUBSTITUTE(UPPER($Q238)," ",""),'DM_TinhThanh'!$C$2:$C$35)),1)),"Không tìm thấy"))</f>
        <v/>
      </c>
      <c r="Y238" s="5">
        <f>IF($R238="","",IFERROR(INDEX('DM_XaPhuong'!$B$2:$B$169,AGGREGATE(15,6,ROW('DM_XaPhuong'!$B$2:$B$169)-ROW('DM_XaPhuong'!$B$2)+1/ISNUMBER(SEARCH(SUBSTITUTE(UPPER($R238)," ",""),'DM_XaPhuong'!$C$2:$C$169)),1)),"Không tìm thấy"))</f>
        <v/>
      </c>
      <c r="AB238" s="5">
        <f>IF($T238="","",IFERROR(INDEX('DM_NgheNghiep'!$B$2:$B$11,AGGREGATE(15,6,ROW('DM_NgheNghiep'!$B$2:$B$11)-ROW('DM_NgheNghiep'!$B$2)+1/ISNUMBER(SEARCH(SUBSTITUTE(UPPER($T238)," ",""),'DM_NgheNghiep'!$C$2:$C$11)),1)),"Không tìm thấy"))</f>
        <v/>
      </c>
      <c r="AD238" s="5">
        <f>IF($U238="","",IFERROR(INDEX('DM_NoiCongTac'!$B$2:$B$11,AGGREGATE(15,6,ROW('DM_NoiCongTac'!$B$2:$B$11)-ROW('DM_NoiCongTac'!$B$2)+1/ISNUMBER(SEARCH(SUBSTITUTE(UPPER($U238)," ",""),'DM_NoiCongTac'!$C$2:$C$11)),1)),"Không tìm thấy"))</f>
        <v/>
      </c>
      <c r="AF238" s="5">
        <f>IF($V238="","",IFERROR(INDEX('DM_XaPhuong'!$B$2:$B$169,AGGREGATE(15,6,ROW('DM_XaPhuong'!$B$2:$B$169)-ROW('DM_XaPhuong'!$B$2)+1/ISNUMBER(SEARCH(SUBSTITUTE(UPPER($V238)," ",""),'DM_XaPhuong'!$C$2:$C$169)),1)),"Không tìm thấy"))</f>
        <v/>
      </c>
    </row>
    <row r="239">
      <c r="C239" s="5">
        <f>IF($B239="","",IFERROR(INDEX('DM_DoiTuong'!$B$2:$B$19,AGGREGATE(15,6,ROW('DM_DoiTuong'!$B$2:$B$19)-ROW('DM_DoiTuong'!$B$2)+1/ISNUMBER(SEARCH(SUBSTITUTE(UPPER($B239)," ",""),'DM_DoiTuong'!$C$2:$C$19)),1)),"Không tìm thấy"))</f>
        <v/>
      </c>
      <c r="E239" s="5">
        <f>IF($C239="","",IFERROR(INDEX('DM_DiaDiemKham'!$B$2:$B$6,AGGREGATE(15,6,ROW('DM_DiaDiemKham'!$B$2:$B$6)-ROW('DM_DiaDiemKham'!$B$2)+1/ISNUMBER(SEARCH(SUBSTITUTE(UPPER($C239)," ",""),'DM_DiaDiemKham'!$C$2:$C$6)),1)),"Không tìm thấy"))</f>
        <v/>
      </c>
      <c r="G239" s="5">
        <f>IF($D239="","",IFERROR(INDEX('DM_HinhThucChiTra'!$B$2:$B$5,AGGREGATE(15,6,ROW('DM_HinhThucChiTra'!$B$2:$B$5)-ROW('DM_HinhThucChiTra'!$B$2)+1/ISNUMBER(SEARCH(SUBSTITUTE(UPPER($D239)," ",""),'DM_HinhThucChiTra'!$C$2:$C$5)),1)),"Không tìm thấy"))</f>
        <v/>
      </c>
      <c r="I239" s="5">
        <f>IF($E239="","",IFERROR(INDEX('DM_HinhThucKham'!$B$2:$B$3,AGGREGATE(15,6,ROW('DM_HinhThucKham'!$B$2:$B$3)-ROW('DM_HinhThucKham'!$B$2)+1/ISNUMBER(SEARCH(SUBSTITUTE(UPPER($E239)," ",""),'DM_HinhThucKham'!$C$2:$C$3)),1)),"Không tìm thấy"))</f>
        <v/>
      </c>
      <c r="P239" s="5">
        <f>IF($K239="","",IFERROR(INDEX('DM_DanToc'!$B$2:$B$78,AGGREGATE(15,6,ROW('DM_DanToc'!$B$2:$B$78)-ROW('DM_DanToc'!$B$2)+1/ISNUMBER(SEARCH(SUBSTITUTE(UPPER($K239)," ",""),'DM_DanToc'!$C$2:$C$78)),1)),"Không tìm thấy"))</f>
        <v/>
      </c>
      <c r="W239" s="5">
        <f>IF($Q239="","",IFERROR(INDEX('DM_TinhThanh'!$B$2:$B$35,AGGREGATE(15,6,ROW('DM_TinhThanh'!$B$2:$B$35)-ROW('DM_TinhThanh'!$B$2)+1/ISNUMBER(SEARCH(SUBSTITUTE(UPPER($Q239)," ",""),'DM_TinhThanh'!$C$2:$C$35)),1)),"Không tìm thấy"))</f>
        <v/>
      </c>
      <c r="Y239" s="5">
        <f>IF($R239="","",IFERROR(INDEX('DM_XaPhuong'!$B$2:$B$169,AGGREGATE(15,6,ROW('DM_XaPhuong'!$B$2:$B$169)-ROW('DM_XaPhuong'!$B$2)+1/ISNUMBER(SEARCH(SUBSTITUTE(UPPER($R239)," ",""),'DM_XaPhuong'!$C$2:$C$169)),1)),"Không tìm thấy"))</f>
        <v/>
      </c>
      <c r="AB239" s="5">
        <f>IF($T239="","",IFERROR(INDEX('DM_NgheNghiep'!$B$2:$B$11,AGGREGATE(15,6,ROW('DM_NgheNghiep'!$B$2:$B$11)-ROW('DM_NgheNghiep'!$B$2)+1/ISNUMBER(SEARCH(SUBSTITUTE(UPPER($T239)," ",""),'DM_NgheNghiep'!$C$2:$C$11)),1)),"Không tìm thấy"))</f>
        <v/>
      </c>
      <c r="AD239" s="5">
        <f>IF($U239="","",IFERROR(INDEX('DM_NoiCongTac'!$B$2:$B$11,AGGREGATE(15,6,ROW('DM_NoiCongTac'!$B$2:$B$11)-ROW('DM_NoiCongTac'!$B$2)+1/ISNUMBER(SEARCH(SUBSTITUTE(UPPER($U239)," ",""),'DM_NoiCongTac'!$C$2:$C$11)),1)),"Không tìm thấy"))</f>
        <v/>
      </c>
      <c r="AF239" s="5">
        <f>IF($V239="","",IFERROR(INDEX('DM_XaPhuong'!$B$2:$B$169,AGGREGATE(15,6,ROW('DM_XaPhuong'!$B$2:$B$169)-ROW('DM_XaPhuong'!$B$2)+1/ISNUMBER(SEARCH(SUBSTITUTE(UPPER($V239)," ",""),'DM_XaPhuong'!$C$2:$C$169)),1)),"Không tìm thấy"))</f>
        <v/>
      </c>
    </row>
    <row r="240">
      <c r="C240" s="5">
        <f>IF($B240="","",IFERROR(INDEX('DM_DoiTuong'!$B$2:$B$19,AGGREGATE(15,6,ROW('DM_DoiTuong'!$B$2:$B$19)-ROW('DM_DoiTuong'!$B$2)+1/ISNUMBER(SEARCH(SUBSTITUTE(UPPER($B240)," ",""),'DM_DoiTuong'!$C$2:$C$19)),1)),"Không tìm thấy"))</f>
        <v/>
      </c>
      <c r="E240" s="5">
        <f>IF($C240="","",IFERROR(INDEX('DM_DiaDiemKham'!$B$2:$B$6,AGGREGATE(15,6,ROW('DM_DiaDiemKham'!$B$2:$B$6)-ROW('DM_DiaDiemKham'!$B$2)+1/ISNUMBER(SEARCH(SUBSTITUTE(UPPER($C240)," ",""),'DM_DiaDiemKham'!$C$2:$C$6)),1)),"Không tìm thấy"))</f>
        <v/>
      </c>
      <c r="G240" s="5">
        <f>IF($D240="","",IFERROR(INDEX('DM_HinhThucChiTra'!$B$2:$B$5,AGGREGATE(15,6,ROW('DM_HinhThucChiTra'!$B$2:$B$5)-ROW('DM_HinhThucChiTra'!$B$2)+1/ISNUMBER(SEARCH(SUBSTITUTE(UPPER($D240)," ",""),'DM_HinhThucChiTra'!$C$2:$C$5)),1)),"Không tìm thấy"))</f>
        <v/>
      </c>
      <c r="I240" s="5">
        <f>IF($E240="","",IFERROR(INDEX('DM_HinhThucKham'!$B$2:$B$3,AGGREGATE(15,6,ROW('DM_HinhThucKham'!$B$2:$B$3)-ROW('DM_HinhThucKham'!$B$2)+1/ISNUMBER(SEARCH(SUBSTITUTE(UPPER($E240)," ",""),'DM_HinhThucKham'!$C$2:$C$3)),1)),"Không tìm thấy"))</f>
        <v/>
      </c>
      <c r="P240" s="5">
        <f>IF($K240="","",IFERROR(INDEX('DM_DanToc'!$B$2:$B$78,AGGREGATE(15,6,ROW('DM_DanToc'!$B$2:$B$78)-ROW('DM_DanToc'!$B$2)+1/ISNUMBER(SEARCH(SUBSTITUTE(UPPER($K240)," ",""),'DM_DanToc'!$C$2:$C$78)),1)),"Không tìm thấy"))</f>
        <v/>
      </c>
      <c r="W240" s="5">
        <f>IF($Q240="","",IFERROR(INDEX('DM_TinhThanh'!$B$2:$B$35,AGGREGATE(15,6,ROW('DM_TinhThanh'!$B$2:$B$35)-ROW('DM_TinhThanh'!$B$2)+1/ISNUMBER(SEARCH(SUBSTITUTE(UPPER($Q240)," ",""),'DM_TinhThanh'!$C$2:$C$35)),1)),"Không tìm thấy"))</f>
        <v/>
      </c>
      <c r="Y240" s="5">
        <f>IF($R240="","",IFERROR(INDEX('DM_XaPhuong'!$B$2:$B$169,AGGREGATE(15,6,ROW('DM_XaPhuong'!$B$2:$B$169)-ROW('DM_XaPhuong'!$B$2)+1/ISNUMBER(SEARCH(SUBSTITUTE(UPPER($R240)," ",""),'DM_XaPhuong'!$C$2:$C$169)),1)),"Không tìm thấy"))</f>
        <v/>
      </c>
      <c r="AB240" s="5">
        <f>IF($T240="","",IFERROR(INDEX('DM_NgheNghiep'!$B$2:$B$11,AGGREGATE(15,6,ROW('DM_NgheNghiep'!$B$2:$B$11)-ROW('DM_NgheNghiep'!$B$2)+1/ISNUMBER(SEARCH(SUBSTITUTE(UPPER($T240)," ",""),'DM_NgheNghiep'!$C$2:$C$11)),1)),"Không tìm thấy"))</f>
        <v/>
      </c>
      <c r="AD240" s="5">
        <f>IF($U240="","",IFERROR(INDEX('DM_NoiCongTac'!$B$2:$B$11,AGGREGATE(15,6,ROW('DM_NoiCongTac'!$B$2:$B$11)-ROW('DM_NoiCongTac'!$B$2)+1/ISNUMBER(SEARCH(SUBSTITUTE(UPPER($U240)," ",""),'DM_NoiCongTac'!$C$2:$C$11)),1)),"Không tìm thấy"))</f>
        <v/>
      </c>
      <c r="AF240" s="5">
        <f>IF($V240="","",IFERROR(INDEX('DM_XaPhuong'!$B$2:$B$169,AGGREGATE(15,6,ROW('DM_XaPhuong'!$B$2:$B$169)-ROW('DM_XaPhuong'!$B$2)+1/ISNUMBER(SEARCH(SUBSTITUTE(UPPER($V240)," ",""),'DM_XaPhuong'!$C$2:$C$169)),1)),"Không tìm thấy"))</f>
        <v/>
      </c>
    </row>
    <row r="241">
      <c r="C241" s="5">
        <f>IF($B241="","",IFERROR(INDEX('DM_DoiTuong'!$B$2:$B$19,AGGREGATE(15,6,ROW('DM_DoiTuong'!$B$2:$B$19)-ROW('DM_DoiTuong'!$B$2)+1/ISNUMBER(SEARCH(SUBSTITUTE(UPPER($B241)," ",""),'DM_DoiTuong'!$C$2:$C$19)),1)),"Không tìm thấy"))</f>
        <v/>
      </c>
      <c r="E241" s="5">
        <f>IF($C241="","",IFERROR(INDEX('DM_DiaDiemKham'!$B$2:$B$6,AGGREGATE(15,6,ROW('DM_DiaDiemKham'!$B$2:$B$6)-ROW('DM_DiaDiemKham'!$B$2)+1/ISNUMBER(SEARCH(SUBSTITUTE(UPPER($C241)," ",""),'DM_DiaDiemKham'!$C$2:$C$6)),1)),"Không tìm thấy"))</f>
        <v/>
      </c>
      <c r="G241" s="5">
        <f>IF($D241="","",IFERROR(INDEX('DM_HinhThucChiTra'!$B$2:$B$5,AGGREGATE(15,6,ROW('DM_HinhThucChiTra'!$B$2:$B$5)-ROW('DM_HinhThucChiTra'!$B$2)+1/ISNUMBER(SEARCH(SUBSTITUTE(UPPER($D241)," ",""),'DM_HinhThucChiTra'!$C$2:$C$5)),1)),"Không tìm thấy"))</f>
        <v/>
      </c>
      <c r="I241" s="5">
        <f>IF($E241="","",IFERROR(INDEX('DM_HinhThucKham'!$B$2:$B$3,AGGREGATE(15,6,ROW('DM_HinhThucKham'!$B$2:$B$3)-ROW('DM_HinhThucKham'!$B$2)+1/ISNUMBER(SEARCH(SUBSTITUTE(UPPER($E241)," ",""),'DM_HinhThucKham'!$C$2:$C$3)),1)),"Không tìm thấy"))</f>
        <v/>
      </c>
      <c r="P241" s="5">
        <f>IF($K241="","",IFERROR(INDEX('DM_DanToc'!$B$2:$B$78,AGGREGATE(15,6,ROW('DM_DanToc'!$B$2:$B$78)-ROW('DM_DanToc'!$B$2)+1/ISNUMBER(SEARCH(SUBSTITUTE(UPPER($K241)," ",""),'DM_DanToc'!$C$2:$C$78)),1)),"Không tìm thấy"))</f>
        <v/>
      </c>
      <c r="W241" s="5">
        <f>IF($Q241="","",IFERROR(INDEX('DM_TinhThanh'!$B$2:$B$35,AGGREGATE(15,6,ROW('DM_TinhThanh'!$B$2:$B$35)-ROW('DM_TinhThanh'!$B$2)+1/ISNUMBER(SEARCH(SUBSTITUTE(UPPER($Q241)," ",""),'DM_TinhThanh'!$C$2:$C$35)),1)),"Không tìm thấy"))</f>
        <v/>
      </c>
      <c r="Y241" s="5">
        <f>IF($R241="","",IFERROR(INDEX('DM_XaPhuong'!$B$2:$B$169,AGGREGATE(15,6,ROW('DM_XaPhuong'!$B$2:$B$169)-ROW('DM_XaPhuong'!$B$2)+1/ISNUMBER(SEARCH(SUBSTITUTE(UPPER($R241)," ",""),'DM_XaPhuong'!$C$2:$C$169)),1)),"Không tìm thấy"))</f>
        <v/>
      </c>
      <c r="AB241" s="5">
        <f>IF($T241="","",IFERROR(INDEX('DM_NgheNghiep'!$B$2:$B$11,AGGREGATE(15,6,ROW('DM_NgheNghiep'!$B$2:$B$11)-ROW('DM_NgheNghiep'!$B$2)+1/ISNUMBER(SEARCH(SUBSTITUTE(UPPER($T241)," ",""),'DM_NgheNghiep'!$C$2:$C$11)),1)),"Không tìm thấy"))</f>
        <v/>
      </c>
      <c r="AD241" s="5">
        <f>IF($U241="","",IFERROR(INDEX('DM_NoiCongTac'!$B$2:$B$11,AGGREGATE(15,6,ROW('DM_NoiCongTac'!$B$2:$B$11)-ROW('DM_NoiCongTac'!$B$2)+1/ISNUMBER(SEARCH(SUBSTITUTE(UPPER($U241)," ",""),'DM_NoiCongTac'!$C$2:$C$11)),1)),"Không tìm thấy"))</f>
        <v/>
      </c>
      <c r="AF241" s="5">
        <f>IF($V241="","",IFERROR(INDEX('DM_XaPhuong'!$B$2:$B$169,AGGREGATE(15,6,ROW('DM_XaPhuong'!$B$2:$B$169)-ROW('DM_XaPhuong'!$B$2)+1/ISNUMBER(SEARCH(SUBSTITUTE(UPPER($V241)," ",""),'DM_XaPhuong'!$C$2:$C$169)),1)),"Không tìm thấy"))</f>
        <v/>
      </c>
    </row>
    <row r="242">
      <c r="C242" s="5">
        <f>IF($B242="","",IFERROR(INDEX('DM_DoiTuong'!$B$2:$B$19,AGGREGATE(15,6,ROW('DM_DoiTuong'!$B$2:$B$19)-ROW('DM_DoiTuong'!$B$2)+1/ISNUMBER(SEARCH(SUBSTITUTE(UPPER($B242)," ",""),'DM_DoiTuong'!$C$2:$C$19)),1)),"Không tìm thấy"))</f>
        <v/>
      </c>
      <c r="E242" s="5">
        <f>IF($C242="","",IFERROR(INDEX('DM_DiaDiemKham'!$B$2:$B$6,AGGREGATE(15,6,ROW('DM_DiaDiemKham'!$B$2:$B$6)-ROW('DM_DiaDiemKham'!$B$2)+1/ISNUMBER(SEARCH(SUBSTITUTE(UPPER($C242)," ",""),'DM_DiaDiemKham'!$C$2:$C$6)),1)),"Không tìm thấy"))</f>
        <v/>
      </c>
      <c r="G242" s="5">
        <f>IF($D242="","",IFERROR(INDEX('DM_HinhThucChiTra'!$B$2:$B$5,AGGREGATE(15,6,ROW('DM_HinhThucChiTra'!$B$2:$B$5)-ROW('DM_HinhThucChiTra'!$B$2)+1/ISNUMBER(SEARCH(SUBSTITUTE(UPPER($D242)," ",""),'DM_HinhThucChiTra'!$C$2:$C$5)),1)),"Không tìm thấy"))</f>
        <v/>
      </c>
      <c r="I242" s="5">
        <f>IF($E242="","",IFERROR(INDEX('DM_HinhThucKham'!$B$2:$B$3,AGGREGATE(15,6,ROW('DM_HinhThucKham'!$B$2:$B$3)-ROW('DM_HinhThucKham'!$B$2)+1/ISNUMBER(SEARCH(SUBSTITUTE(UPPER($E242)," ",""),'DM_HinhThucKham'!$C$2:$C$3)),1)),"Không tìm thấy"))</f>
        <v/>
      </c>
      <c r="P242" s="5">
        <f>IF($K242="","",IFERROR(INDEX('DM_DanToc'!$B$2:$B$78,AGGREGATE(15,6,ROW('DM_DanToc'!$B$2:$B$78)-ROW('DM_DanToc'!$B$2)+1/ISNUMBER(SEARCH(SUBSTITUTE(UPPER($K242)," ",""),'DM_DanToc'!$C$2:$C$78)),1)),"Không tìm thấy"))</f>
        <v/>
      </c>
      <c r="W242" s="5">
        <f>IF($Q242="","",IFERROR(INDEX('DM_TinhThanh'!$B$2:$B$35,AGGREGATE(15,6,ROW('DM_TinhThanh'!$B$2:$B$35)-ROW('DM_TinhThanh'!$B$2)+1/ISNUMBER(SEARCH(SUBSTITUTE(UPPER($Q242)," ",""),'DM_TinhThanh'!$C$2:$C$35)),1)),"Không tìm thấy"))</f>
        <v/>
      </c>
      <c r="Y242" s="5">
        <f>IF($R242="","",IFERROR(INDEX('DM_XaPhuong'!$B$2:$B$169,AGGREGATE(15,6,ROW('DM_XaPhuong'!$B$2:$B$169)-ROW('DM_XaPhuong'!$B$2)+1/ISNUMBER(SEARCH(SUBSTITUTE(UPPER($R242)," ",""),'DM_XaPhuong'!$C$2:$C$169)),1)),"Không tìm thấy"))</f>
        <v/>
      </c>
      <c r="AB242" s="5">
        <f>IF($T242="","",IFERROR(INDEX('DM_NgheNghiep'!$B$2:$B$11,AGGREGATE(15,6,ROW('DM_NgheNghiep'!$B$2:$B$11)-ROW('DM_NgheNghiep'!$B$2)+1/ISNUMBER(SEARCH(SUBSTITUTE(UPPER($T242)," ",""),'DM_NgheNghiep'!$C$2:$C$11)),1)),"Không tìm thấy"))</f>
        <v/>
      </c>
      <c r="AD242" s="5">
        <f>IF($U242="","",IFERROR(INDEX('DM_NoiCongTac'!$B$2:$B$11,AGGREGATE(15,6,ROW('DM_NoiCongTac'!$B$2:$B$11)-ROW('DM_NoiCongTac'!$B$2)+1/ISNUMBER(SEARCH(SUBSTITUTE(UPPER($U242)," ",""),'DM_NoiCongTac'!$C$2:$C$11)),1)),"Không tìm thấy"))</f>
        <v/>
      </c>
      <c r="AF242" s="5">
        <f>IF($V242="","",IFERROR(INDEX('DM_XaPhuong'!$B$2:$B$169,AGGREGATE(15,6,ROW('DM_XaPhuong'!$B$2:$B$169)-ROW('DM_XaPhuong'!$B$2)+1/ISNUMBER(SEARCH(SUBSTITUTE(UPPER($V242)," ",""),'DM_XaPhuong'!$C$2:$C$169)),1)),"Không tìm thấy"))</f>
        <v/>
      </c>
    </row>
    <row r="243">
      <c r="C243" s="5">
        <f>IF($B243="","",IFERROR(INDEX('DM_DoiTuong'!$B$2:$B$19,AGGREGATE(15,6,ROW('DM_DoiTuong'!$B$2:$B$19)-ROW('DM_DoiTuong'!$B$2)+1/ISNUMBER(SEARCH(SUBSTITUTE(UPPER($B243)," ",""),'DM_DoiTuong'!$C$2:$C$19)),1)),"Không tìm thấy"))</f>
        <v/>
      </c>
      <c r="E243" s="5">
        <f>IF($C243="","",IFERROR(INDEX('DM_DiaDiemKham'!$B$2:$B$6,AGGREGATE(15,6,ROW('DM_DiaDiemKham'!$B$2:$B$6)-ROW('DM_DiaDiemKham'!$B$2)+1/ISNUMBER(SEARCH(SUBSTITUTE(UPPER($C243)," ",""),'DM_DiaDiemKham'!$C$2:$C$6)),1)),"Không tìm thấy"))</f>
        <v/>
      </c>
      <c r="G243" s="5">
        <f>IF($D243="","",IFERROR(INDEX('DM_HinhThucChiTra'!$B$2:$B$5,AGGREGATE(15,6,ROW('DM_HinhThucChiTra'!$B$2:$B$5)-ROW('DM_HinhThucChiTra'!$B$2)+1/ISNUMBER(SEARCH(SUBSTITUTE(UPPER($D243)," ",""),'DM_HinhThucChiTra'!$C$2:$C$5)),1)),"Không tìm thấy"))</f>
        <v/>
      </c>
      <c r="I243" s="5">
        <f>IF($E243="","",IFERROR(INDEX('DM_HinhThucKham'!$B$2:$B$3,AGGREGATE(15,6,ROW('DM_HinhThucKham'!$B$2:$B$3)-ROW('DM_HinhThucKham'!$B$2)+1/ISNUMBER(SEARCH(SUBSTITUTE(UPPER($E243)," ",""),'DM_HinhThucKham'!$C$2:$C$3)),1)),"Không tìm thấy"))</f>
        <v/>
      </c>
      <c r="P243" s="5">
        <f>IF($K243="","",IFERROR(INDEX('DM_DanToc'!$B$2:$B$78,AGGREGATE(15,6,ROW('DM_DanToc'!$B$2:$B$78)-ROW('DM_DanToc'!$B$2)+1/ISNUMBER(SEARCH(SUBSTITUTE(UPPER($K243)," ",""),'DM_DanToc'!$C$2:$C$78)),1)),"Không tìm thấy"))</f>
        <v/>
      </c>
      <c r="W243" s="5">
        <f>IF($Q243="","",IFERROR(INDEX('DM_TinhThanh'!$B$2:$B$35,AGGREGATE(15,6,ROW('DM_TinhThanh'!$B$2:$B$35)-ROW('DM_TinhThanh'!$B$2)+1/ISNUMBER(SEARCH(SUBSTITUTE(UPPER($Q243)," ",""),'DM_TinhThanh'!$C$2:$C$35)),1)),"Không tìm thấy"))</f>
        <v/>
      </c>
      <c r="Y243" s="5">
        <f>IF($R243="","",IFERROR(INDEX('DM_XaPhuong'!$B$2:$B$169,AGGREGATE(15,6,ROW('DM_XaPhuong'!$B$2:$B$169)-ROW('DM_XaPhuong'!$B$2)+1/ISNUMBER(SEARCH(SUBSTITUTE(UPPER($R243)," ",""),'DM_XaPhuong'!$C$2:$C$169)),1)),"Không tìm thấy"))</f>
        <v/>
      </c>
      <c r="AB243" s="5">
        <f>IF($T243="","",IFERROR(INDEX('DM_NgheNghiep'!$B$2:$B$11,AGGREGATE(15,6,ROW('DM_NgheNghiep'!$B$2:$B$11)-ROW('DM_NgheNghiep'!$B$2)+1/ISNUMBER(SEARCH(SUBSTITUTE(UPPER($T243)," ",""),'DM_NgheNghiep'!$C$2:$C$11)),1)),"Không tìm thấy"))</f>
        <v/>
      </c>
      <c r="AD243" s="5">
        <f>IF($U243="","",IFERROR(INDEX('DM_NoiCongTac'!$B$2:$B$11,AGGREGATE(15,6,ROW('DM_NoiCongTac'!$B$2:$B$11)-ROW('DM_NoiCongTac'!$B$2)+1/ISNUMBER(SEARCH(SUBSTITUTE(UPPER($U243)," ",""),'DM_NoiCongTac'!$C$2:$C$11)),1)),"Không tìm thấy"))</f>
        <v/>
      </c>
      <c r="AF243" s="5">
        <f>IF($V243="","",IFERROR(INDEX('DM_XaPhuong'!$B$2:$B$169,AGGREGATE(15,6,ROW('DM_XaPhuong'!$B$2:$B$169)-ROW('DM_XaPhuong'!$B$2)+1/ISNUMBER(SEARCH(SUBSTITUTE(UPPER($V243)," ",""),'DM_XaPhuong'!$C$2:$C$169)),1)),"Không tìm thấy"))</f>
        <v/>
      </c>
    </row>
    <row r="244">
      <c r="C244" s="5">
        <f>IF($B244="","",IFERROR(INDEX('DM_DoiTuong'!$B$2:$B$19,AGGREGATE(15,6,ROW('DM_DoiTuong'!$B$2:$B$19)-ROW('DM_DoiTuong'!$B$2)+1/ISNUMBER(SEARCH(SUBSTITUTE(UPPER($B244)," ",""),'DM_DoiTuong'!$C$2:$C$19)),1)),"Không tìm thấy"))</f>
        <v/>
      </c>
      <c r="E244" s="5">
        <f>IF($C244="","",IFERROR(INDEX('DM_DiaDiemKham'!$B$2:$B$6,AGGREGATE(15,6,ROW('DM_DiaDiemKham'!$B$2:$B$6)-ROW('DM_DiaDiemKham'!$B$2)+1/ISNUMBER(SEARCH(SUBSTITUTE(UPPER($C244)," ",""),'DM_DiaDiemKham'!$C$2:$C$6)),1)),"Không tìm thấy"))</f>
        <v/>
      </c>
      <c r="G244" s="5">
        <f>IF($D244="","",IFERROR(INDEX('DM_HinhThucChiTra'!$B$2:$B$5,AGGREGATE(15,6,ROW('DM_HinhThucChiTra'!$B$2:$B$5)-ROW('DM_HinhThucChiTra'!$B$2)+1/ISNUMBER(SEARCH(SUBSTITUTE(UPPER($D244)," ",""),'DM_HinhThucChiTra'!$C$2:$C$5)),1)),"Không tìm thấy"))</f>
        <v/>
      </c>
      <c r="I244" s="5">
        <f>IF($E244="","",IFERROR(INDEX('DM_HinhThucKham'!$B$2:$B$3,AGGREGATE(15,6,ROW('DM_HinhThucKham'!$B$2:$B$3)-ROW('DM_HinhThucKham'!$B$2)+1/ISNUMBER(SEARCH(SUBSTITUTE(UPPER($E244)," ",""),'DM_HinhThucKham'!$C$2:$C$3)),1)),"Không tìm thấy"))</f>
        <v/>
      </c>
      <c r="P244" s="5">
        <f>IF($K244="","",IFERROR(INDEX('DM_DanToc'!$B$2:$B$78,AGGREGATE(15,6,ROW('DM_DanToc'!$B$2:$B$78)-ROW('DM_DanToc'!$B$2)+1/ISNUMBER(SEARCH(SUBSTITUTE(UPPER($K244)," ",""),'DM_DanToc'!$C$2:$C$78)),1)),"Không tìm thấy"))</f>
        <v/>
      </c>
      <c r="W244" s="5">
        <f>IF($Q244="","",IFERROR(INDEX('DM_TinhThanh'!$B$2:$B$35,AGGREGATE(15,6,ROW('DM_TinhThanh'!$B$2:$B$35)-ROW('DM_TinhThanh'!$B$2)+1/ISNUMBER(SEARCH(SUBSTITUTE(UPPER($Q244)," ",""),'DM_TinhThanh'!$C$2:$C$35)),1)),"Không tìm thấy"))</f>
        <v/>
      </c>
      <c r="Y244" s="5">
        <f>IF($R244="","",IFERROR(INDEX('DM_XaPhuong'!$B$2:$B$169,AGGREGATE(15,6,ROW('DM_XaPhuong'!$B$2:$B$169)-ROW('DM_XaPhuong'!$B$2)+1/ISNUMBER(SEARCH(SUBSTITUTE(UPPER($R244)," ",""),'DM_XaPhuong'!$C$2:$C$169)),1)),"Không tìm thấy"))</f>
        <v/>
      </c>
      <c r="AB244" s="5">
        <f>IF($T244="","",IFERROR(INDEX('DM_NgheNghiep'!$B$2:$B$11,AGGREGATE(15,6,ROW('DM_NgheNghiep'!$B$2:$B$11)-ROW('DM_NgheNghiep'!$B$2)+1/ISNUMBER(SEARCH(SUBSTITUTE(UPPER($T244)," ",""),'DM_NgheNghiep'!$C$2:$C$11)),1)),"Không tìm thấy"))</f>
        <v/>
      </c>
      <c r="AD244" s="5">
        <f>IF($U244="","",IFERROR(INDEX('DM_NoiCongTac'!$B$2:$B$11,AGGREGATE(15,6,ROW('DM_NoiCongTac'!$B$2:$B$11)-ROW('DM_NoiCongTac'!$B$2)+1/ISNUMBER(SEARCH(SUBSTITUTE(UPPER($U244)," ",""),'DM_NoiCongTac'!$C$2:$C$11)),1)),"Không tìm thấy"))</f>
        <v/>
      </c>
      <c r="AF244" s="5">
        <f>IF($V244="","",IFERROR(INDEX('DM_XaPhuong'!$B$2:$B$169,AGGREGATE(15,6,ROW('DM_XaPhuong'!$B$2:$B$169)-ROW('DM_XaPhuong'!$B$2)+1/ISNUMBER(SEARCH(SUBSTITUTE(UPPER($V244)," ",""),'DM_XaPhuong'!$C$2:$C$169)),1)),"Không tìm thấy"))</f>
        <v/>
      </c>
    </row>
    <row r="245">
      <c r="C245" s="5">
        <f>IF($B245="","",IFERROR(INDEX('DM_DoiTuong'!$B$2:$B$19,AGGREGATE(15,6,ROW('DM_DoiTuong'!$B$2:$B$19)-ROW('DM_DoiTuong'!$B$2)+1/ISNUMBER(SEARCH(SUBSTITUTE(UPPER($B245)," ",""),'DM_DoiTuong'!$C$2:$C$19)),1)),"Không tìm thấy"))</f>
        <v/>
      </c>
      <c r="E245" s="5">
        <f>IF($C245="","",IFERROR(INDEX('DM_DiaDiemKham'!$B$2:$B$6,AGGREGATE(15,6,ROW('DM_DiaDiemKham'!$B$2:$B$6)-ROW('DM_DiaDiemKham'!$B$2)+1/ISNUMBER(SEARCH(SUBSTITUTE(UPPER($C245)," ",""),'DM_DiaDiemKham'!$C$2:$C$6)),1)),"Không tìm thấy"))</f>
        <v/>
      </c>
      <c r="G245" s="5">
        <f>IF($D245="","",IFERROR(INDEX('DM_HinhThucChiTra'!$B$2:$B$5,AGGREGATE(15,6,ROW('DM_HinhThucChiTra'!$B$2:$B$5)-ROW('DM_HinhThucChiTra'!$B$2)+1/ISNUMBER(SEARCH(SUBSTITUTE(UPPER($D245)," ",""),'DM_HinhThucChiTra'!$C$2:$C$5)),1)),"Không tìm thấy"))</f>
        <v/>
      </c>
      <c r="I245" s="5">
        <f>IF($E245="","",IFERROR(INDEX('DM_HinhThucKham'!$B$2:$B$3,AGGREGATE(15,6,ROW('DM_HinhThucKham'!$B$2:$B$3)-ROW('DM_HinhThucKham'!$B$2)+1/ISNUMBER(SEARCH(SUBSTITUTE(UPPER($E245)," ",""),'DM_HinhThucKham'!$C$2:$C$3)),1)),"Không tìm thấy"))</f>
        <v/>
      </c>
      <c r="P245" s="5">
        <f>IF($K245="","",IFERROR(INDEX('DM_DanToc'!$B$2:$B$78,AGGREGATE(15,6,ROW('DM_DanToc'!$B$2:$B$78)-ROW('DM_DanToc'!$B$2)+1/ISNUMBER(SEARCH(SUBSTITUTE(UPPER($K245)," ",""),'DM_DanToc'!$C$2:$C$78)),1)),"Không tìm thấy"))</f>
        <v/>
      </c>
      <c r="W245" s="5">
        <f>IF($Q245="","",IFERROR(INDEX('DM_TinhThanh'!$B$2:$B$35,AGGREGATE(15,6,ROW('DM_TinhThanh'!$B$2:$B$35)-ROW('DM_TinhThanh'!$B$2)+1/ISNUMBER(SEARCH(SUBSTITUTE(UPPER($Q245)," ",""),'DM_TinhThanh'!$C$2:$C$35)),1)),"Không tìm thấy"))</f>
        <v/>
      </c>
      <c r="Y245" s="5">
        <f>IF($R245="","",IFERROR(INDEX('DM_XaPhuong'!$B$2:$B$169,AGGREGATE(15,6,ROW('DM_XaPhuong'!$B$2:$B$169)-ROW('DM_XaPhuong'!$B$2)+1/ISNUMBER(SEARCH(SUBSTITUTE(UPPER($R245)," ",""),'DM_XaPhuong'!$C$2:$C$169)),1)),"Không tìm thấy"))</f>
        <v/>
      </c>
      <c r="AB245" s="5">
        <f>IF($T245="","",IFERROR(INDEX('DM_NgheNghiep'!$B$2:$B$11,AGGREGATE(15,6,ROW('DM_NgheNghiep'!$B$2:$B$11)-ROW('DM_NgheNghiep'!$B$2)+1/ISNUMBER(SEARCH(SUBSTITUTE(UPPER($T245)," ",""),'DM_NgheNghiep'!$C$2:$C$11)),1)),"Không tìm thấy"))</f>
        <v/>
      </c>
      <c r="AD245" s="5">
        <f>IF($U245="","",IFERROR(INDEX('DM_NoiCongTac'!$B$2:$B$11,AGGREGATE(15,6,ROW('DM_NoiCongTac'!$B$2:$B$11)-ROW('DM_NoiCongTac'!$B$2)+1/ISNUMBER(SEARCH(SUBSTITUTE(UPPER($U245)," ",""),'DM_NoiCongTac'!$C$2:$C$11)),1)),"Không tìm thấy"))</f>
        <v/>
      </c>
      <c r="AF245" s="5">
        <f>IF($V245="","",IFERROR(INDEX('DM_XaPhuong'!$B$2:$B$169,AGGREGATE(15,6,ROW('DM_XaPhuong'!$B$2:$B$169)-ROW('DM_XaPhuong'!$B$2)+1/ISNUMBER(SEARCH(SUBSTITUTE(UPPER($V245)," ",""),'DM_XaPhuong'!$C$2:$C$169)),1)),"Không tìm thấy"))</f>
        <v/>
      </c>
    </row>
    <row r="246">
      <c r="C246" s="5">
        <f>IF($B246="","",IFERROR(INDEX('DM_DoiTuong'!$B$2:$B$19,AGGREGATE(15,6,ROW('DM_DoiTuong'!$B$2:$B$19)-ROW('DM_DoiTuong'!$B$2)+1/ISNUMBER(SEARCH(SUBSTITUTE(UPPER($B246)," ",""),'DM_DoiTuong'!$C$2:$C$19)),1)),"Không tìm thấy"))</f>
        <v/>
      </c>
      <c r="E246" s="5">
        <f>IF($C246="","",IFERROR(INDEX('DM_DiaDiemKham'!$B$2:$B$6,AGGREGATE(15,6,ROW('DM_DiaDiemKham'!$B$2:$B$6)-ROW('DM_DiaDiemKham'!$B$2)+1/ISNUMBER(SEARCH(SUBSTITUTE(UPPER($C246)," ",""),'DM_DiaDiemKham'!$C$2:$C$6)),1)),"Không tìm thấy"))</f>
        <v/>
      </c>
      <c r="G246" s="5">
        <f>IF($D246="","",IFERROR(INDEX('DM_HinhThucChiTra'!$B$2:$B$5,AGGREGATE(15,6,ROW('DM_HinhThucChiTra'!$B$2:$B$5)-ROW('DM_HinhThucChiTra'!$B$2)+1/ISNUMBER(SEARCH(SUBSTITUTE(UPPER($D246)," ",""),'DM_HinhThucChiTra'!$C$2:$C$5)),1)),"Không tìm thấy"))</f>
        <v/>
      </c>
      <c r="I246" s="5">
        <f>IF($E246="","",IFERROR(INDEX('DM_HinhThucKham'!$B$2:$B$3,AGGREGATE(15,6,ROW('DM_HinhThucKham'!$B$2:$B$3)-ROW('DM_HinhThucKham'!$B$2)+1/ISNUMBER(SEARCH(SUBSTITUTE(UPPER($E246)," ",""),'DM_HinhThucKham'!$C$2:$C$3)),1)),"Không tìm thấy"))</f>
        <v/>
      </c>
      <c r="P246" s="5">
        <f>IF($K246="","",IFERROR(INDEX('DM_DanToc'!$B$2:$B$78,AGGREGATE(15,6,ROW('DM_DanToc'!$B$2:$B$78)-ROW('DM_DanToc'!$B$2)+1/ISNUMBER(SEARCH(SUBSTITUTE(UPPER($K246)," ",""),'DM_DanToc'!$C$2:$C$78)),1)),"Không tìm thấy"))</f>
        <v/>
      </c>
      <c r="W246" s="5">
        <f>IF($Q246="","",IFERROR(INDEX('DM_TinhThanh'!$B$2:$B$35,AGGREGATE(15,6,ROW('DM_TinhThanh'!$B$2:$B$35)-ROW('DM_TinhThanh'!$B$2)+1/ISNUMBER(SEARCH(SUBSTITUTE(UPPER($Q246)," ",""),'DM_TinhThanh'!$C$2:$C$35)),1)),"Không tìm thấy"))</f>
        <v/>
      </c>
      <c r="Y246" s="5">
        <f>IF($R246="","",IFERROR(INDEX('DM_XaPhuong'!$B$2:$B$169,AGGREGATE(15,6,ROW('DM_XaPhuong'!$B$2:$B$169)-ROW('DM_XaPhuong'!$B$2)+1/ISNUMBER(SEARCH(SUBSTITUTE(UPPER($R246)," ",""),'DM_XaPhuong'!$C$2:$C$169)),1)),"Không tìm thấy"))</f>
        <v/>
      </c>
      <c r="AB246" s="5">
        <f>IF($T246="","",IFERROR(INDEX('DM_NgheNghiep'!$B$2:$B$11,AGGREGATE(15,6,ROW('DM_NgheNghiep'!$B$2:$B$11)-ROW('DM_NgheNghiep'!$B$2)+1/ISNUMBER(SEARCH(SUBSTITUTE(UPPER($T246)," ",""),'DM_NgheNghiep'!$C$2:$C$11)),1)),"Không tìm thấy"))</f>
        <v/>
      </c>
      <c r="AD246" s="5">
        <f>IF($U246="","",IFERROR(INDEX('DM_NoiCongTac'!$B$2:$B$11,AGGREGATE(15,6,ROW('DM_NoiCongTac'!$B$2:$B$11)-ROW('DM_NoiCongTac'!$B$2)+1/ISNUMBER(SEARCH(SUBSTITUTE(UPPER($U246)," ",""),'DM_NoiCongTac'!$C$2:$C$11)),1)),"Không tìm thấy"))</f>
        <v/>
      </c>
      <c r="AF246" s="5">
        <f>IF($V246="","",IFERROR(INDEX('DM_XaPhuong'!$B$2:$B$169,AGGREGATE(15,6,ROW('DM_XaPhuong'!$B$2:$B$169)-ROW('DM_XaPhuong'!$B$2)+1/ISNUMBER(SEARCH(SUBSTITUTE(UPPER($V246)," ",""),'DM_XaPhuong'!$C$2:$C$169)),1)),"Không tìm thấy"))</f>
        <v/>
      </c>
    </row>
    <row r="247">
      <c r="C247" s="5">
        <f>IF($B247="","",IFERROR(INDEX('DM_DoiTuong'!$B$2:$B$19,AGGREGATE(15,6,ROW('DM_DoiTuong'!$B$2:$B$19)-ROW('DM_DoiTuong'!$B$2)+1/ISNUMBER(SEARCH(SUBSTITUTE(UPPER($B247)," ",""),'DM_DoiTuong'!$C$2:$C$19)),1)),"Không tìm thấy"))</f>
        <v/>
      </c>
      <c r="E247" s="5">
        <f>IF($C247="","",IFERROR(INDEX('DM_DiaDiemKham'!$B$2:$B$6,AGGREGATE(15,6,ROW('DM_DiaDiemKham'!$B$2:$B$6)-ROW('DM_DiaDiemKham'!$B$2)+1/ISNUMBER(SEARCH(SUBSTITUTE(UPPER($C247)," ",""),'DM_DiaDiemKham'!$C$2:$C$6)),1)),"Không tìm thấy"))</f>
        <v/>
      </c>
      <c r="G247" s="5">
        <f>IF($D247="","",IFERROR(INDEX('DM_HinhThucChiTra'!$B$2:$B$5,AGGREGATE(15,6,ROW('DM_HinhThucChiTra'!$B$2:$B$5)-ROW('DM_HinhThucChiTra'!$B$2)+1/ISNUMBER(SEARCH(SUBSTITUTE(UPPER($D247)," ",""),'DM_HinhThucChiTra'!$C$2:$C$5)),1)),"Không tìm thấy"))</f>
        <v/>
      </c>
      <c r="I247" s="5">
        <f>IF($E247="","",IFERROR(INDEX('DM_HinhThucKham'!$B$2:$B$3,AGGREGATE(15,6,ROW('DM_HinhThucKham'!$B$2:$B$3)-ROW('DM_HinhThucKham'!$B$2)+1/ISNUMBER(SEARCH(SUBSTITUTE(UPPER($E247)," ",""),'DM_HinhThucKham'!$C$2:$C$3)),1)),"Không tìm thấy"))</f>
        <v/>
      </c>
      <c r="P247" s="5">
        <f>IF($K247="","",IFERROR(INDEX('DM_DanToc'!$B$2:$B$78,AGGREGATE(15,6,ROW('DM_DanToc'!$B$2:$B$78)-ROW('DM_DanToc'!$B$2)+1/ISNUMBER(SEARCH(SUBSTITUTE(UPPER($K247)," ",""),'DM_DanToc'!$C$2:$C$78)),1)),"Không tìm thấy"))</f>
        <v/>
      </c>
      <c r="W247" s="5">
        <f>IF($Q247="","",IFERROR(INDEX('DM_TinhThanh'!$B$2:$B$35,AGGREGATE(15,6,ROW('DM_TinhThanh'!$B$2:$B$35)-ROW('DM_TinhThanh'!$B$2)+1/ISNUMBER(SEARCH(SUBSTITUTE(UPPER($Q247)," ",""),'DM_TinhThanh'!$C$2:$C$35)),1)),"Không tìm thấy"))</f>
        <v/>
      </c>
      <c r="Y247" s="5">
        <f>IF($R247="","",IFERROR(INDEX('DM_XaPhuong'!$B$2:$B$169,AGGREGATE(15,6,ROW('DM_XaPhuong'!$B$2:$B$169)-ROW('DM_XaPhuong'!$B$2)+1/ISNUMBER(SEARCH(SUBSTITUTE(UPPER($R247)," ",""),'DM_XaPhuong'!$C$2:$C$169)),1)),"Không tìm thấy"))</f>
        <v/>
      </c>
      <c r="AB247" s="5">
        <f>IF($T247="","",IFERROR(INDEX('DM_NgheNghiep'!$B$2:$B$11,AGGREGATE(15,6,ROW('DM_NgheNghiep'!$B$2:$B$11)-ROW('DM_NgheNghiep'!$B$2)+1/ISNUMBER(SEARCH(SUBSTITUTE(UPPER($T247)," ",""),'DM_NgheNghiep'!$C$2:$C$11)),1)),"Không tìm thấy"))</f>
        <v/>
      </c>
      <c r="AD247" s="5">
        <f>IF($U247="","",IFERROR(INDEX('DM_NoiCongTac'!$B$2:$B$11,AGGREGATE(15,6,ROW('DM_NoiCongTac'!$B$2:$B$11)-ROW('DM_NoiCongTac'!$B$2)+1/ISNUMBER(SEARCH(SUBSTITUTE(UPPER($U247)," ",""),'DM_NoiCongTac'!$C$2:$C$11)),1)),"Không tìm thấy"))</f>
        <v/>
      </c>
      <c r="AF247" s="5">
        <f>IF($V247="","",IFERROR(INDEX('DM_XaPhuong'!$B$2:$B$169,AGGREGATE(15,6,ROW('DM_XaPhuong'!$B$2:$B$169)-ROW('DM_XaPhuong'!$B$2)+1/ISNUMBER(SEARCH(SUBSTITUTE(UPPER($V247)," ",""),'DM_XaPhuong'!$C$2:$C$169)),1)),"Không tìm thấy"))</f>
        <v/>
      </c>
    </row>
    <row r="248">
      <c r="C248" s="5">
        <f>IF($B248="","",IFERROR(INDEX('DM_DoiTuong'!$B$2:$B$19,AGGREGATE(15,6,ROW('DM_DoiTuong'!$B$2:$B$19)-ROW('DM_DoiTuong'!$B$2)+1/ISNUMBER(SEARCH(SUBSTITUTE(UPPER($B248)," ",""),'DM_DoiTuong'!$C$2:$C$19)),1)),"Không tìm thấy"))</f>
        <v/>
      </c>
      <c r="E248" s="5">
        <f>IF($C248="","",IFERROR(INDEX('DM_DiaDiemKham'!$B$2:$B$6,AGGREGATE(15,6,ROW('DM_DiaDiemKham'!$B$2:$B$6)-ROW('DM_DiaDiemKham'!$B$2)+1/ISNUMBER(SEARCH(SUBSTITUTE(UPPER($C248)," ",""),'DM_DiaDiemKham'!$C$2:$C$6)),1)),"Không tìm thấy"))</f>
        <v/>
      </c>
      <c r="G248" s="5">
        <f>IF($D248="","",IFERROR(INDEX('DM_HinhThucChiTra'!$B$2:$B$5,AGGREGATE(15,6,ROW('DM_HinhThucChiTra'!$B$2:$B$5)-ROW('DM_HinhThucChiTra'!$B$2)+1/ISNUMBER(SEARCH(SUBSTITUTE(UPPER($D248)," ",""),'DM_HinhThucChiTra'!$C$2:$C$5)),1)),"Không tìm thấy"))</f>
        <v/>
      </c>
      <c r="I248" s="5">
        <f>IF($E248="","",IFERROR(INDEX('DM_HinhThucKham'!$B$2:$B$3,AGGREGATE(15,6,ROW('DM_HinhThucKham'!$B$2:$B$3)-ROW('DM_HinhThucKham'!$B$2)+1/ISNUMBER(SEARCH(SUBSTITUTE(UPPER($E248)," ",""),'DM_HinhThucKham'!$C$2:$C$3)),1)),"Không tìm thấy"))</f>
        <v/>
      </c>
      <c r="P248" s="5">
        <f>IF($K248="","",IFERROR(INDEX('DM_DanToc'!$B$2:$B$78,AGGREGATE(15,6,ROW('DM_DanToc'!$B$2:$B$78)-ROW('DM_DanToc'!$B$2)+1/ISNUMBER(SEARCH(SUBSTITUTE(UPPER($K248)," ",""),'DM_DanToc'!$C$2:$C$78)),1)),"Không tìm thấy"))</f>
        <v/>
      </c>
      <c r="W248" s="5">
        <f>IF($Q248="","",IFERROR(INDEX('DM_TinhThanh'!$B$2:$B$35,AGGREGATE(15,6,ROW('DM_TinhThanh'!$B$2:$B$35)-ROW('DM_TinhThanh'!$B$2)+1/ISNUMBER(SEARCH(SUBSTITUTE(UPPER($Q248)," ",""),'DM_TinhThanh'!$C$2:$C$35)),1)),"Không tìm thấy"))</f>
        <v/>
      </c>
      <c r="Y248" s="5">
        <f>IF($R248="","",IFERROR(INDEX('DM_XaPhuong'!$B$2:$B$169,AGGREGATE(15,6,ROW('DM_XaPhuong'!$B$2:$B$169)-ROW('DM_XaPhuong'!$B$2)+1/ISNUMBER(SEARCH(SUBSTITUTE(UPPER($R248)," ",""),'DM_XaPhuong'!$C$2:$C$169)),1)),"Không tìm thấy"))</f>
        <v/>
      </c>
      <c r="AB248" s="5">
        <f>IF($T248="","",IFERROR(INDEX('DM_NgheNghiep'!$B$2:$B$11,AGGREGATE(15,6,ROW('DM_NgheNghiep'!$B$2:$B$11)-ROW('DM_NgheNghiep'!$B$2)+1/ISNUMBER(SEARCH(SUBSTITUTE(UPPER($T248)," ",""),'DM_NgheNghiep'!$C$2:$C$11)),1)),"Không tìm thấy"))</f>
        <v/>
      </c>
      <c r="AD248" s="5">
        <f>IF($U248="","",IFERROR(INDEX('DM_NoiCongTac'!$B$2:$B$11,AGGREGATE(15,6,ROW('DM_NoiCongTac'!$B$2:$B$11)-ROW('DM_NoiCongTac'!$B$2)+1/ISNUMBER(SEARCH(SUBSTITUTE(UPPER($U248)," ",""),'DM_NoiCongTac'!$C$2:$C$11)),1)),"Không tìm thấy"))</f>
        <v/>
      </c>
      <c r="AF248" s="5">
        <f>IF($V248="","",IFERROR(INDEX('DM_XaPhuong'!$B$2:$B$169,AGGREGATE(15,6,ROW('DM_XaPhuong'!$B$2:$B$169)-ROW('DM_XaPhuong'!$B$2)+1/ISNUMBER(SEARCH(SUBSTITUTE(UPPER($V248)," ",""),'DM_XaPhuong'!$C$2:$C$169)),1)),"Không tìm thấy"))</f>
        <v/>
      </c>
    </row>
    <row r="249">
      <c r="C249" s="5">
        <f>IF($B249="","",IFERROR(INDEX('DM_DoiTuong'!$B$2:$B$19,AGGREGATE(15,6,ROW('DM_DoiTuong'!$B$2:$B$19)-ROW('DM_DoiTuong'!$B$2)+1/ISNUMBER(SEARCH(SUBSTITUTE(UPPER($B249)," ",""),'DM_DoiTuong'!$C$2:$C$19)),1)),"Không tìm thấy"))</f>
        <v/>
      </c>
      <c r="E249" s="5">
        <f>IF($C249="","",IFERROR(INDEX('DM_DiaDiemKham'!$B$2:$B$6,AGGREGATE(15,6,ROW('DM_DiaDiemKham'!$B$2:$B$6)-ROW('DM_DiaDiemKham'!$B$2)+1/ISNUMBER(SEARCH(SUBSTITUTE(UPPER($C249)," ",""),'DM_DiaDiemKham'!$C$2:$C$6)),1)),"Không tìm thấy"))</f>
        <v/>
      </c>
      <c r="G249" s="5">
        <f>IF($D249="","",IFERROR(INDEX('DM_HinhThucChiTra'!$B$2:$B$5,AGGREGATE(15,6,ROW('DM_HinhThucChiTra'!$B$2:$B$5)-ROW('DM_HinhThucChiTra'!$B$2)+1/ISNUMBER(SEARCH(SUBSTITUTE(UPPER($D249)," ",""),'DM_HinhThucChiTra'!$C$2:$C$5)),1)),"Không tìm thấy"))</f>
        <v/>
      </c>
      <c r="I249" s="5">
        <f>IF($E249="","",IFERROR(INDEX('DM_HinhThucKham'!$B$2:$B$3,AGGREGATE(15,6,ROW('DM_HinhThucKham'!$B$2:$B$3)-ROW('DM_HinhThucKham'!$B$2)+1/ISNUMBER(SEARCH(SUBSTITUTE(UPPER($E249)," ",""),'DM_HinhThucKham'!$C$2:$C$3)),1)),"Không tìm thấy"))</f>
        <v/>
      </c>
      <c r="P249" s="5">
        <f>IF($K249="","",IFERROR(INDEX('DM_DanToc'!$B$2:$B$78,AGGREGATE(15,6,ROW('DM_DanToc'!$B$2:$B$78)-ROW('DM_DanToc'!$B$2)+1/ISNUMBER(SEARCH(SUBSTITUTE(UPPER($K249)," ",""),'DM_DanToc'!$C$2:$C$78)),1)),"Không tìm thấy"))</f>
        <v/>
      </c>
      <c r="W249" s="5">
        <f>IF($Q249="","",IFERROR(INDEX('DM_TinhThanh'!$B$2:$B$35,AGGREGATE(15,6,ROW('DM_TinhThanh'!$B$2:$B$35)-ROW('DM_TinhThanh'!$B$2)+1/ISNUMBER(SEARCH(SUBSTITUTE(UPPER($Q249)," ",""),'DM_TinhThanh'!$C$2:$C$35)),1)),"Không tìm thấy"))</f>
        <v/>
      </c>
      <c r="Y249" s="5">
        <f>IF($R249="","",IFERROR(INDEX('DM_XaPhuong'!$B$2:$B$169,AGGREGATE(15,6,ROW('DM_XaPhuong'!$B$2:$B$169)-ROW('DM_XaPhuong'!$B$2)+1/ISNUMBER(SEARCH(SUBSTITUTE(UPPER($R249)," ",""),'DM_XaPhuong'!$C$2:$C$169)),1)),"Không tìm thấy"))</f>
        <v/>
      </c>
      <c r="AB249" s="5">
        <f>IF($T249="","",IFERROR(INDEX('DM_NgheNghiep'!$B$2:$B$11,AGGREGATE(15,6,ROW('DM_NgheNghiep'!$B$2:$B$11)-ROW('DM_NgheNghiep'!$B$2)+1/ISNUMBER(SEARCH(SUBSTITUTE(UPPER($T249)," ",""),'DM_NgheNghiep'!$C$2:$C$11)),1)),"Không tìm thấy"))</f>
        <v/>
      </c>
      <c r="AD249" s="5">
        <f>IF($U249="","",IFERROR(INDEX('DM_NoiCongTac'!$B$2:$B$11,AGGREGATE(15,6,ROW('DM_NoiCongTac'!$B$2:$B$11)-ROW('DM_NoiCongTac'!$B$2)+1/ISNUMBER(SEARCH(SUBSTITUTE(UPPER($U249)," ",""),'DM_NoiCongTac'!$C$2:$C$11)),1)),"Không tìm thấy"))</f>
        <v/>
      </c>
      <c r="AF249" s="5">
        <f>IF($V249="","",IFERROR(INDEX('DM_XaPhuong'!$B$2:$B$169,AGGREGATE(15,6,ROW('DM_XaPhuong'!$B$2:$B$169)-ROW('DM_XaPhuong'!$B$2)+1/ISNUMBER(SEARCH(SUBSTITUTE(UPPER($V249)," ",""),'DM_XaPhuong'!$C$2:$C$169)),1)),"Không tìm thấy"))</f>
        <v/>
      </c>
    </row>
    <row r="250">
      <c r="C250" s="5">
        <f>IF($B250="","",IFERROR(INDEX('DM_DoiTuong'!$B$2:$B$19,AGGREGATE(15,6,ROW('DM_DoiTuong'!$B$2:$B$19)-ROW('DM_DoiTuong'!$B$2)+1/ISNUMBER(SEARCH(SUBSTITUTE(UPPER($B250)," ",""),'DM_DoiTuong'!$C$2:$C$19)),1)),"Không tìm thấy"))</f>
        <v/>
      </c>
      <c r="E250" s="5">
        <f>IF($C250="","",IFERROR(INDEX('DM_DiaDiemKham'!$B$2:$B$6,AGGREGATE(15,6,ROW('DM_DiaDiemKham'!$B$2:$B$6)-ROW('DM_DiaDiemKham'!$B$2)+1/ISNUMBER(SEARCH(SUBSTITUTE(UPPER($C250)," ",""),'DM_DiaDiemKham'!$C$2:$C$6)),1)),"Không tìm thấy"))</f>
        <v/>
      </c>
      <c r="G250" s="5">
        <f>IF($D250="","",IFERROR(INDEX('DM_HinhThucChiTra'!$B$2:$B$5,AGGREGATE(15,6,ROW('DM_HinhThucChiTra'!$B$2:$B$5)-ROW('DM_HinhThucChiTra'!$B$2)+1/ISNUMBER(SEARCH(SUBSTITUTE(UPPER($D250)," ",""),'DM_HinhThucChiTra'!$C$2:$C$5)),1)),"Không tìm thấy"))</f>
        <v/>
      </c>
      <c r="I250" s="5">
        <f>IF($E250="","",IFERROR(INDEX('DM_HinhThucKham'!$B$2:$B$3,AGGREGATE(15,6,ROW('DM_HinhThucKham'!$B$2:$B$3)-ROW('DM_HinhThucKham'!$B$2)+1/ISNUMBER(SEARCH(SUBSTITUTE(UPPER($E250)," ",""),'DM_HinhThucKham'!$C$2:$C$3)),1)),"Không tìm thấy"))</f>
        <v/>
      </c>
      <c r="P250" s="5">
        <f>IF($K250="","",IFERROR(INDEX('DM_DanToc'!$B$2:$B$78,AGGREGATE(15,6,ROW('DM_DanToc'!$B$2:$B$78)-ROW('DM_DanToc'!$B$2)+1/ISNUMBER(SEARCH(SUBSTITUTE(UPPER($K250)," ",""),'DM_DanToc'!$C$2:$C$78)),1)),"Không tìm thấy"))</f>
        <v/>
      </c>
      <c r="W250" s="5">
        <f>IF($Q250="","",IFERROR(INDEX('DM_TinhThanh'!$B$2:$B$35,AGGREGATE(15,6,ROW('DM_TinhThanh'!$B$2:$B$35)-ROW('DM_TinhThanh'!$B$2)+1/ISNUMBER(SEARCH(SUBSTITUTE(UPPER($Q250)," ",""),'DM_TinhThanh'!$C$2:$C$35)),1)),"Không tìm thấy"))</f>
        <v/>
      </c>
      <c r="Y250" s="5">
        <f>IF($R250="","",IFERROR(INDEX('DM_XaPhuong'!$B$2:$B$169,AGGREGATE(15,6,ROW('DM_XaPhuong'!$B$2:$B$169)-ROW('DM_XaPhuong'!$B$2)+1/ISNUMBER(SEARCH(SUBSTITUTE(UPPER($R250)," ",""),'DM_XaPhuong'!$C$2:$C$169)),1)),"Không tìm thấy"))</f>
        <v/>
      </c>
      <c r="AB250" s="5">
        <f>IF($T250="","",IFERROR(INDEX('DM_NgheNghiep'!$B$2:$B$11,AGGREGATE(15,6,ROW('DM_NgheNghiep'!$B$2:$B$11)-ROW('DM_NgheNghiep'!$B$2)+1/ISNUMBER(SEARCH(SUBSTITUTE(UPPER($T250)," ",""),'DM_NgheNghiep'!$C$2:$C$11)),1)),"Không tìm thấy"))</f>
        <v/>
      </c>
      <c r="AD250" s="5">
        <f>IF($U250="","",IFERROR(INDEX('DM_NoiCongTac'!$B$2:$B$11,AGGREGATE(15,6,ROW('DM_NoiCongTac'!$B$2:$B$11)-ROW('DM_NoiCongTac'!$B$2)+1/ISNUMBER(SEARCH(SUBSTITUTE(UPPER($U250)," ",""),'DM_NoiCongTac'!$C$2:$C$11)),1)),"Không tìm thấy"))</f>
        <v/>
      </c>
      <c r="AF250" s="5">
        <f>IF($V250="","",IFERROR(INDEX('DM_XaPhuong'!$B$2:$B$169,AGGREGATE(15,6,ROW('DM_XaPhuong'!$B$2:$B$169)-ROW('DM_XaPhuong'!$B$2)+1/ISNUMBER(SEARCH(SUBSTITUTE(UPPER($V250)," ",""),'DM_XaPhuong'!$C$2:$C$169)),1)),"Không tìm thấy"))</f>
        <v/>
      </c>
    </row>
    <row r="251">
      <c r="C251" s="5">
        <f>IF($B251="","",IFERROR(INDEX('DM_DoiTuong'!$B$2:$B$19,AGGREGATE(15,6,ROW('DM_DoiTuong'!$B$2:$B$19)-ROW('DM_DoiTuong'!$B$2)+1/ISNUMBER(SEARCH(SUBSTITUTE(UPPER($B251)," ",""),'DM_DoiTuong'!$C$2:$C$19)),1)),"Không tìm thấy"))</f>
        <v/>
      </c>
      <c r="E251" s="5">
        <f>IF($C251="","",IFERROR(INDEX('DM_DiaDiemKham'!$B$2:$B$6,AGGREGATE(15,6,ROW('DM_DiaDiemKham'!$B$2:$B$6)-ROW('DM_DiaDiemKham'!$B$2)+1/ISNUMBER(SEARCH(SUBSTITUTE(UPPER($C251)," ",""),'DM_DiaDiemKham'!$C$2:$C$6)),1)),"Không tìm thấy"))</f>
        <v/>
      </c>
      <c r="G251" s="5">
        <f>IF($D251="","",IFERROR(INDEX('DM_HinhThucChiTra'!$B$2:$B$5,AGGREGATE(15,6,ROW('DM_HinhThucChiTra'!$B$2:$B$5)-ROW('DM_HinhThucChiTra'!$B$2)+1/ISNUMBER(SEARCH(SUBSTITUTE(UPPER($D251)," ",""),'DM_HinhThucChiTra'!$C$2:$C$5)),1)),"Không tìm thấy"))</f>
        <v/>
      </c>
      <c r="I251" s="5">
        <f>IF($E251="","",IFERROR(INDEX('DM_HinhThucKham'!$B$2:$B$3,AGGREGATE(15,6,ROW('DM_HinhThucKham'!$B$2:$B$3)-ROW('DM_HinhThucKham'!$B$2)+1/ISNUMBER(SEARCH(SUBSTITUTE(UPPER($E251)," ",""),'DM_HinhThucKham'!$C$2:$C$3)),1)),"Không tìm thấy"))</f>
        <v/>
      </c>
      <c r="P251" s="5">
        <f>IF($K251="","",IFERROR(INDEX('DM_DanToc'!$B$2:$B$78,AGGREGATE(15,6,ROW('DM_DanToc'!$B$2:$B$78)-ROW('DM_DanToc'!$B$2)+1/ISNUMBER(SEARCH(SUBSTITUTE(UPPER($K251)," ",""),'DM_DanToc'!$C$2:$C$78)),1)),"Không tìm thấy"))</f>
        <v/>
      </c>
      <c r="W251" s="5">
        <f>IF($Q251="","",IFERROR(INDEX('DM_TinhThanh'!$B$2:$B$35,AGGREGATE(15,6,ROW('DM_TinhThanh'!$B$2:$B$35)-ROW('DM_TinhThanh'!$B$2)+1/ISNUMBER(SEARCH(SUBSTITUTE(UPPER($Q251)," ",""),'DM_TinhThanh'!$C$2:$C$35)),1)),"Không tìm thấy"))</f>
        <v/>
      </c>
      <c r="Y251" s="5">
        <f>IF($R251="","",IFERROR(INDEX('DM_XaPhuong'!$B$2:$B$169,AGGREGATE(15,6,ROW('DM_XaPhuong'!$B$2:$B$169)-ROW('DM_XaPhuong'!$B$2)+1/ISNUMBER(SEARCH(SUBSTITUTE(UPPER($R251)," ",""),'DM_XaPhuong'!$C$2:$C$169)),1)),"Không tìm thấy"))</f>
        <v/>
      </c>
      <c r="AB251" s="5">
        <f>IF($T251="","",IFERROR(INDEX('DM_NgheNghiep'!$B$2:$B$11,AGGREGATE(15,6,ROW('DM_NgheNghiep'!$B$2:$B$11)-ROW('DM_NgheNghiep'!$B$2)+1/ISNUMBER(SEARCH(SUBSTITUTE(UPPER($T251)," ",""),'DM_NgheNghiep'!$C$2:$C$11)),1)),"Không tìm thấy"))</f>
        <v/>
      </c>
      <c r="AD251" s="5">
        <f>IF($U251="","",IFERROR(INDEX('DM_NoiCongTac'!$B$2:$B$11,AGGREGATE(15,6,ROW('DM_NoiCongTac'!$B$2:$B$11)-ROW('DM_NoiCongTac'!$B$2)+1/ISNUMBER(SEARCH(SUBSTITUTE(UPPER($U251)," ",""),'DM_NoiCongTac'!$C$2:$C$11)),1)),"Không tìm thấy"))</f>
        <v/>
      </c>
      <c r="AF251" s="5">
        <f>IF($V251="","",IFERROR(INDEX('DM_XaPhuong'!$B$2:$B$169,AGGREGATE(15,6,ROW('DM_XaPhuong'!$B$2:$B$169)-ROW('DM_XaPhuong'!$B$2)+1/ISNUMBER(SEARCH(SUBSTITUTE(UPPER($V251)," ",""),'DM_XaPhuong'!$C$2:$C$169)),1)),"Không tìm thấy"))</f>
        <v/>
      </c>
    </row>
    <row r="252">
      <c r="C252" s="5">
        <f>IF($B252="","",IFERROR(INDEX('DM_DoiTuong'!$B$2:$B$19,AGGREGATE(15,6,ROW('DM_DoiTuong'!$B$2:$B$19)-ROW('DM_DoiTuong'!$B$2)+1/ISNUMBER(SEARCH(SUBSTITUTE(UPPER($B252)," ",""),'DM_DoiTuong'!$C$2:$C$19)),1)),"Không tìm thấy"))</f>
        <v/>
      </c>
      <c r="E252" s="5">
        <f>IF($C252="","",IFERROR(INDEX('DM_DiaDiemKham'!$B$2:$B$6,AGGREGATE(15,6,ROW('DM_DiaDiemKham'!$B$2:$B$6)-ROW('DM_DiaDiemKham'!$B$2)+1/ISNUMBER(SEARCH(SUBSTITUTE(UPPER($C252)," ",""),'DM_DiaDiemKham'!$C$2:$C$6)),1)),"Không tìm thấy"))</f>
        <v/>
      </c>
      <c r="G252" s="5">
        <f>IF($D252="","",IFERROR(INDEX('DM_HinhThucChiTra'!$B$2:$B$5,AGGREGATE(15,6,ROW('DM_HinhThucChiTra'!$B$2:$B$5)-ROW('DM_HinhThucChiTra'!$B$2)+1/ISNUMBER(SEARCH(SUBSTITUTE(UPPER($D252)," ",""),'DM_HinhThucChiTra'!$C$2:$C$5)),1)),"Không tìm thấy"))</f>
        <v/>
      </c>
      <c r="I252" s="5">
        <f>IF($E252="","",IFERROR(INDEX('DM_HinhThucKham'!$B$2:$B$3,AGGREGATE(15,6,ROW('DM_HinhThucKham'!$B$2:$B$3)-ROW('DM_HinhThucKham'!$B$2)+1/ISNUMBER(SEARCH(SUBSTITUTE(UPPER($E252)," ",""),'DM_HinhThucKham'!$C$2:$C$3)),1)),"Không tìm thấy"))</f>
        <v/>
      </c>
      <c r="P252" s="5">
        <f>IF($K252="","",IFERROR(INDEX('DM_DanToc'!$B$2:$B$78,AGGREGATE(15,6,ROW('DM_DanToc'!$B$2:$B$78)-ROW('DM_DanToc'!$B$2)+1/ISNUMBER(SEARCH(SUBSTITUTE(UPPER($K252)," ",""),'DM_DanToc'!$C$2:$C$78)),1)),"Không tìm thấy"))</f>
        <v/>
      </c>
      <c r="W252" s="5">
        <f>IF($Q252="","",IFERROR(INDEX('DM_TinhThanh'!$B$2:$B$35,AGGREGATE(15,6,ROW('DM_TinhThanh'!$B$2:$B$35)-ROW('DM_TinhThanh'!$B$2)+1/ISNUMBER(SEARCH(SUBSTITUTE(UPPER($Q252)," ",""),'DM_TinhThanh'!$C$2:$C$35)),1)),"Không tìm thấy"))</f>
        <v/>
      </c>
      <c r="Y252" s="5">
        <f>IF($R252="","",IFERROR(INDEX('DM_XaPhuong'!$B$2:$B$169,AGGREGATE(15,6,ROW('DM_XaPhuong'!$B$2:$B$169)-ROW('DM_XaPhuong'!$B$2)+1/ISNUMBER(SEARCH(SUBSTITUTE(UPPER($R252)," ",""),'DM_XaPhuong'!$C$2:$C$169)),1)),"Không tìm thấy"))</f>
        <v/>
      </c>
      <c r="AB252" s="5">
        <f>IF($T252="","",IFERROR(INDEX('DM_NgheNghiep'!$B$2:$B$11,AGGREGATE(15,6,ROW('DM_NgheNghiep'!$B$2:$B$11)-ROW('DM_NgheNghiep'!$B$2)+1/ISNUMBER(SEARCH(SUBSTITUTE(UPPER($T252)," ",""),'DM_NgheNghiep'!$C$2:$C$11)),1)),"Không tìm thấy"))</f>
        <v/>
      </c>
      <c r="AD252" s="5">
        <f>IF($U252="","",IFERROR(INDEX('DM_NoiCongTac'!$B$2:$B$11,AGGREGATE(15,6,ROW('DM_NoiCongTac'!$B$2:$B$11)-ROW('DM_NoiCongTac'!$B$2)+1/ISNUMBER(SEARCH(SUBSTITUTE(UPPER($U252)," ",""),'DM_NoiCongTac'!$C$2:$C$11)),1)),"Không tìm thấy"))</f>
        <v/>
      </c>
      <c r="AF252" s="5">
        <f>IF($V252="","",IFERROR(INDEX('DM_XaPhuong'!$B$2:$B$169,AGGREGATE(15,6,ROW('DM_XaPhuong'!$B$2:$B$169)-ROW('DM_XaPhuong'!$B$2)+1/ISNUMBER(SEARCH(SUBSTITUTE(UPPER($V252)," ",""),'DM_XaPhuong'!$C$2:$C$169)),1)),"Không tìm thấy"))</f>
        <v/>
      </c>
    </row>
    <row r="253">
      <c r="C253" s="5">
        <f>IF($B253="","",IFERROR(INDEX('DM_DoiTuong'!$B$2:$B$19,AGGREGATE(15,6,ROW('DM_DoiTuong'!$B$2:$B$19)-ROW('DM_DoiTuong'!$B$2)+1/ISNUMBER(SEARCH(SUBSTITUTE(UPPER($B253)," ",""),'DM_DoiTuong'!$C$2:$C$19)),1)),"Không tìm thấy"))</f>
        <v/>
      </c>
      <c r="E253" s="5">
        <f>IF($C253="","",IFERROR(INDEX('DM_DiaDiemKham'!$B$2:$B$6,AGGREGATE(15,6,ROW('DM_DiaDiemKham'!$B$2:$B$6)-ROW('DM_DiaDiemKham'!$B$2)+1/ISNUMBER(SEARCH(SUBSTITUTE(UPPER($C253)," ",""),'DM_DiaDiemKham'!$C$2:$C$6)),1)),"Không tìm thấy"))</f>
        <v/>
      </c>
      <c r="G253" s="5">
        <f>IF($D253="","",IFERROR(INDEX('DM_HinhThucChiTra'!$B$2:$B$5,AGGREGATE(15,6,ROW('DM_HinhThucChiTra'!$B$2:$B$5)-ROW('DM_HinhThucChiTra'!$B$2)+1/ISNUMBER(SEARCH(SUBSTITUTE(UPPER($D253)," ",""),'DM_HinhThucChiTra'!$C$2:$C$5)),1)),"Không tìm thấy"))</f>
        <v/>
      </c>
      <c r="I253" s="5">
        <f>IF($E253="","",IFERROR(INDEX('DM_HinhThucKham'!$B$2:$B$3,AGGREGATE(15,6,ROW('DM_HinhThucKham'!$B$2:$B$3)-ROW('DM_HinhThucKham'!$B$2)+1/ISNUMBER(SEARCH(SUBSTITUTE(UPPER($E253)," ",""),'DM_HinhThucKham'!$C$2:$C$3)),1)),"Không tìm thấy"))</f>
        <v/>
      </c>
      <c r="P253" s="5">
        <f>IF($K253="","",IFERROR(INDEX('DM_DanToc'!$B$2:$B$78,AGGREGATE(15,6,ROW('DM_DanToc'!$B$2:$B$78)-ROW('DM_DanToc'!$B$2)+1/ISNUMBER(SEARCH(SUBSTITUTE(UPPER($K253)," ",""),'DM_DanToc'!$C$2:$C$78)),1)),"Không tìm thấy"))</f>
        <v/>
      </c>
      <c r="W253" s="5">
        <f>IF($Q253="","",IFERROR(INDEX('DM_TinhThanh'!$B$2:$B$35,AGGREGATE(15,6,ROW('DM_TinhThanh'!$B$2:$B$35)-ROW('DM_TinhThanh'!$B$2)+1/ISNUMBER(SEARCH(SUBSTITUTE(UPPER($Q253)," ",""),'DM_TinhThanh'!$C$2:$C$35)),1)),"Không tìm thấy"))</f>
        <v/>
      </c>
      <c r="Y253" s="5">
        <f>IF($R253="","",IFERROR(INDEX('DM_XaPhuong'!$B$2:$B$169,AGGREGATE(15,6,ROW('DM_XaPhuong'!$B$2:$B$169)-ROW('DM_XaPhuong'!$B$2)+1/ISNUMBER(SEARCH(SUBSTITUTE(UPPER($R253)," ",""),'DM_XaPhuong'!$C$2:$C$169)),1)),"Không tìm thấy"))</f>
        <v/>
      </c>
      <c r="AB253" s="5">
        <f>IF($T253="","",IFERROR(INDEX('DM_NgheNghiep'!$B$2:$B$11,AGGREGATE(15,6,ROW('DM_NgheNghiep'!$B$2:$B$11)-ROW('DM_NgheNghiep'!$B$2)+1/ISNUMBER(SEARCH(SUBSTITUTE(UPPER($T253)," ",""),'DM_NgheNghiep'!$C$2:$C$11)),1)),"Không tìm thấy"))</f>
        <v/>
      </c>
      <c r="AD253" s="5">
        <f>IF($U253="","",IFERROR(INDEX('DM_NoiCongTac'!$B$2:$B$11,AGGREGATE(15,6,ROW('DM_NoiCongTac'!$B$2:$B$11)-ROW('DM_NoiCongTac'!$B$2)+1/ISNUMBER(SEARCH(SUBSTITUTE(UPPER($U253)," ",""),'DM_NoiCongTac'!$C$2:$C$11)),1)),"Không tìm thấy"))</f>
        <v/>
      </c>
      <c r="AF253" s="5">
        <f>IF($V253="","",IFERROR(INDEX('DM_XaPhuong'!$B$2:$B$169,AGGREGATE(15,6,ROW('DM_XaPhuong'!$B$2:$B$169)-ROW('DM_XaPhuong'!$B$2)+1/ISNUMBER(SEARCH(SUBSTITUTE(UPPER($V253)," ",""),'DM_XaPhuong'!$C$2:$C$169)),1)),"Không tìm thấy"))</f>
        <v/>
      </c>
    </row>
    <row r="254">
      <c r="C254" s="5">
        <f>IF($B254="","",IFERROR(INDEX('DM_DoiTuong'!$B$2:$B$19,AGGREGATE(15,6,ROW('DM_DoiTuong'!$B$2:$B$19)-ROW('DM_DoiTuong'!$B$2)+1/ISNUMBER(SEARCH(SUBSTITUTE(UPPER($B254)," ",""),'DM_DoiTuong'!$C$2:$C$19)),1)),"Không tìm thấy"))</f>
        <v/>
      </c>
      <c r="E254" s="5">
        <f>IF($C254="","",IFERROR(INDEX('DM_DiaDiemKham'!$B$2:$B$6,AGGREGATE(15,6,ROW('DM_DiaDiemKham'!$B$2:$B$6)-ROW('DM_DiaDiemKham'!$B$2)+1/ISNUMBER(SEARCH(SUBSTITUTE(UPPER($C254)," ",""),'DM_DiaDiemKham'!$C$2:$C$6)),1)),"Không tìm thấy"))</f>
        <v/>
      </c>
      <c r="G254" s="5">
        <f>IF($D254="","",IFERROR(INDEX('DM_HinhThucChiTra'!$B$2:$B$5,AGGREGATE(15,6,ROW('DM_HinhThucChiTra'!$B$2:$B$5)-ROW('DM_HinhThucChiTra'!$B$2)+1/ISNUMBER(SEARCH(SUBSTITUTE(UPPER($D254)," ",""),'DM_HinhThucChiTra'!$C$2:$C$5)),1)),"Không tìm thấy"))</f>
        <v/>
      </c>
      <c r="I254" s="5">
        <f>IF($E254="","",IFERROR(INDEX('DM_HinhThucKham'!$B$2:$B$3,AGGREGATE(15,6,ROW('DM_HinhThucKham'!$B$2:$B$3)-ROW('DM_HinhThucKham'!$B$2)+1/ISNUMBER(SEARCH(SUBSTITUTE(UPPER($E254)," ",""),'DM_HinhThucKham'!$C$2:$C$3)),1)),"Không tìm thấy"))</f>
        <v/>
      </c>
      <c r="P254" s="5">
        <f>IF($K254="","",IFERROR(INDEX('DM_DanToc'!$B$2:$B$78,AGGREGATE(15,6,ROW('DM_DanToc'!$B$2:$B$78)-ROW('DM_DanToc'!$B$2)+1/ISNUMBER(SEARCH(SUBSTITUTE(UPPER($K254)," ",""),'DM_DanToc'!$C$2:$C$78)),1)),"Không tìm thấy"))</f>
        <v/>
      </c>
      <c r="W254" s="5">
        <f>IF($Q254="","",IFERROR(INDEX('DM_TinhThanh'!$B$2:$B$35,AGGREGATE(15,6,ROW('DM_TinhThanh'!$B$2:$B$35)-ROW('DM_TinhThanh'!$B$2)+1/ISNUMBER(SEARCH(SUBSTITUTE(UPPER($Q254)," ",""),'DM_TinhThanh'!$C$2:$C$35)),1)),"Không tìm thấy"))</f>
        <v/>
      </c>
      <c r="Y254" s="5">
        <f>IF($R254="","",IFERROR(INDEX('DM_XaPhuong'!$B$2:$B$169,AGGREGATE(15,6,ROW('DM_XaPhuong'!$B$2:$B$169)-ROW('DM_XaPhuong'!$B$2)+1/ISNUMBER(SEARCH(SUBSTITUTE(UPPER($R254)," ",""),'DM_XaPhuong'!$C$2:$C$169)),1)),"Không tìm thấy"))</f>
        <v/>
      </c>
      <c r="AB254" s="5">
        <f>IF($T254="","",IFERROR(INDEX('DM_NgheNghiep'!$B$2:$B$11,AGGREGATE(15,6,ROW('DM_NgheNghiep'!$B$2:$B$11)-ROW('DM_NgheNghiep'!$B$2)+1/ISNUMBER(SEARCH(SUBSTITUTE(UPPER($T254)," ",""),'DM_NgheNghiep'!$C$2:$C$11)),1)),"Không tìm thấy"))</f>
        <v/>
      </c>
      <c r="AD254" s="5">
        <f>IF($U254="","",IFERROR(INDEX('DM_NoiCongTac'!$B$2:$B$11,AGGREGATE(15,6,ROW('DM_NoiCongTac'!$B$2:$B$11)-ROW('DM_NoiCongTac'!$B$2)+1/ISNUMBER(SEARCH(SUBSTITUTE(UPPER($U254)," ",""),'DM_NoiCongTac'!$C$2:$C$11)),1)),"Không tìm thấy"))</f>
        <v/>
      </c>
      <c r="AF254" s="5">
        <f>IF($V254="","",IFERROR(INDEX('DM_XaPhuong'!$B$2:$B$169,AGGREGATE(15,6,ROW('DM_XaPhuong'!$B$2:$B$169)-ROW('DM_XaPhuong'!$B$2)+1/ISNUMBER(SEARCH(SUBSTITUTE(UPPER($V254)," ",""),'DM_XaPhuong'!$C$2:$C$169)),1)),"Không tìm thấy"))</f>
        <v/>
      </c>
    </row>
    <row r="255">
      <c r="C255" s="5">
        <f>IF($B255="","",IFERROR(INDEX('DM_DoiTuong'!$B$2:$B$19,AGGREGATE(15,6,ROW('DM_DoiTuong'!$B$2:$B$19)-ROW('DM_DoiTuong'!$B$2)+1/ISNUMBER(SEARCH(SUBSTITUTE(UPPER($B255)," ",""),'DM_DoiTuong'!$C$2:$C$19)),1)),"Không tìm thấy"))</f>
        <v/>
      </c>
      <c r="E255" s="5">
        <f>IF($C255="","",IFERROR(INDEX('DM_DiaDiemKham'!$B$2:$B$6,AGGREGATE(15,6,ROW('DM_DiaDiemKham'!$B$2:$B$6)-ROW('DM_DiaDiemKham'!$B$2)+1/ISNUMBER(SEARCH(SUBSTITUTE(UPPER($C255)," ",""),'DM_DiaDiemKham'!$C$2:$C$6)),1)),"Không tìm thấy"))</f>
        <v/>
      </c>
      <c r="G255" s="5">
        <f>IF($D255="","",IFERROR(INDEX('DM_HinhThucChiTra'!$B$2:$B$5,AGGREGATE(15,6,ROW('DM_HinhThucChiTra'!$B$2:$B$5)-ROW('DM_HinhThucChiTra'!$B$2)+1/ISNUMBER(SEARCH(SUBSTITUTE(UPPER($D255)," ",""),'DM_HinhThucChiTra'!$C$2:$C$5)),1)),"Không tìm thấy"))</f>
        <v/>
      </c>
      <c r="I255" s="5">
        <f>IF($E255="","",IFERROR(INDEX('DM_HinhThucKham'!$B$2:$B$3,AGGREGATE(15,6,ROW('DM_HinhThucKham'!$B$2:$B$3)-ROW('DM_HinhThucKham'!$B$2)+1/ISNUMBER(SEARCH(SUBSTITUTE(UPPER($E255)," ",""),'DM_HinhThucKham'!$C$2:$C$3)),1)),"Không tìm thấy"))</f>
        <v/>
      </c>
      <c r="P255" s="5">
        <f>IF($K255="","",IFERROR(INDEX('DM_DanToc'!$B$2:$B$78,AGGREGATE(15,6,ROW('DM_DanToc'!$B$2:$B$78)-ROW('DM_DanToc'!$B$2)+1/ISNUMBER(SEARCH(SUBSTITUTE(UPPER($K255)," ",""),'DM_DanToc'!$C$2:$C$78)),1)),"Không tìm thấy"))</f>
        <v/>
      </c>
      <c r="W255" s="5">
        <f>IF($Q255="","",IFERROR(INDEX('DM_TinhThanh'!$B$2:$B$35,AGGREGATE(15,6,ROW('DM_TinhThanh'!$B$2:$B$35)-ROW('DM_TinhThanh'!$B$2)+1/ISNUMBER(SEARCH(SUBSTITUTE(UPPER($Q255)," ",""),'DM_TinhThanh'!$C$2:$C$35)),1)),"Không tìm thấy"))</f>
        <v/>
      </c>
      <c r="Y255" s="5">
        <f>IF($R255="","",IFERROR(INDEX('DM_XaPhuong'!$B$2:$B$169,AGGREGATE(15,6,ROW('DM_XaPhuong'!$B$2:$B$169)-ROW('DM_XaPhuong'!$B$2)+1/ISNUMBER(SEARCH(SUBSTITUTE(UPPER($R255)," ",""),'DM_XaPhuong'!$C$2:$C$169)),1)),"Không tìm thấy"))</f>
        <v/>
      </c>
      <c r="AB255" s="5">
        <f>IF($T255="","",IFERROR(INDEX('DM_NgheNghiep'!$B$2:$B$11,AGGREGATE(15,6,ROW('DM_NgheNghiep'!$B$2:$B$11)-ROW('DM_NgheNghiep'!$B$2)+1/ISNUMBER(SEARCH(SUBSTITUTE(UPPER($T255)," ",""),'DM_NgheNghiep'!$C$2:$C$11)),1)),"Không tìm thấy"))</f>
        <v/>
      </c>
      <c r="AD255" s="5">
        <f>IF($U255="","",IFERROR(INDEX('DM_NoiCongTac'!$B$2:$B$11,AGGREGATE(15,6,ROW('DM_NoiCongTac'!$B$2:$B$11)-ROW('DM_NoiCongTac'!$B$2)+1/ISNUMBER(SEARCH(SUBSTITUTE(UPPER($U255)," ",""),'DM_NoiCongTac'!$C$2:$C$11)),1)),"Không tìm thấy"))</f>
        <v/>
      </c>
      <c r="AF255" s="5">
        <f>IF($V255="","",IFERROR(INDEX('DM_XaPhuong'!$B$2:$B$169,AGGREGATE(15,6,ROW('DM_XaPhuong'!$B$2:$B$169)-ROW('DM_XaPhuong'!$B$2)+1/ISNUMBER(SEARCH(SUBSTITUTE(UPPER($V255)," ",""),'DM_XaPhuong'!$C$2:$C$169)),1)),"Không tìm thấy"))</f>
        <v/>
      </c>
    </row>
    <row r="256">
      <c r="C256" s="5">
        <f>IF($B256="","",IFERROR(INDEX('DM_DoiTuong'!$B$2:$B$19,AGGREGATE(15,6,ROW('DM_DoiTuong'!$B$2:$B$19)-ROW('DM_DoiTuong'!$B$2)+1/ISNUMBER(SEARCH(SUBSTITUTE(UPPER($B256)," ",""),'DM_DoiTuong'!$C$2:$C$19)),1)),"Không tìm thấy"))</f>
        <v/>
      </c>
      <c r="E256" s="5">
        <f>IF($C256="","",IFERROR(INDEX('DM_DiaDiemKham'!$B$2:$B$6,AGGREGATE(15,6,ROW('DM_DiaDiemKham'!$B$2:$B$6)-ROW('DM_DiaDiemKham'!$B$2)+1/ISNUMBER(SEARCH(SUBSTITUTE(UPPER($C256)," ",""),'DM_DiaDiemKham'!$C$2:$C$6)),1)),"Không tìm thấy"))</f>
        <v/>
      </c>
      <c r="G256" s="5">
        <f>IF($D256="","",IFERROR(INDEX('DM_HinhThucChiTra'!$B$2:$B$5,AGGREGATE(15,6,ROW('DM_HinhThucChiTra'!$B$2:$B$5)-ROW('DM_HinhThucChiTra'!$B$2)+1/ISNUMBER(SEARCH(SUBSTITUTE(UPPER($D256)," ",""),'DM_HinhThucChiTra'!$C$2:$C$5)),1)),"Không tìm thấy"))</f>
        <v/>
      </c>
      <c r="I256" s="5">
        <f>IF($E256="","",IFERROR(INDEX('DM_HinhThucKham'!$B$2:$B$3,AGGREGATE(15,6,ROW('DM_HinhThucKham'!$B$2:$B$3)-ROW('DM_HinhThucKham'!$B$2)+1/ISNUMBER(SEARCH(SUBSTITUTE(UPPER($E256)," ",""),'DM_HinhThucKham'!$C$2:$C$3)),1)),"Không tìm thấy"))</f>
        <v/>
      </c>
      <c r="P256" s="5">
        <f>IF($K256="","",IFERROR(INDEX('DM_DanToc'!$B$2:$B$78,AGGREGATE(15,6,ROW('DM_DanToc'!$B$2:$B$78)-ROW('DM_DanToc'!$B$2)+1/ISNUMBER(SEARCH(SUBSTITUTE(UPPER($K256)," ",""),'DM_DanToc'!$C$2:$C$78)),1)),"Không tìm thấy"))</f>
        <v/>
      </c>
      <c r="W256" s="5">
        <f>IF($Q256="","",IFERROR(INDEX('DM_TinhThanh'!$B$2:$B$35,AGGREGATE(15,6,ROW('DM_TinhThanh'!$B$2:$B$35)-ROW('DM_TinhThanh'!$B$2)+1/ISNUMBER(SEARCH(SUBSTITUTE(UPPER($Q256)," ",""),'DM_TinhThanh'!$C$2:$C$35)),1)),"Không tìm thấy"))</f>
        <v/>
      </c>
      <c r="Y256" s="5">
        <f>IF($R256="","",IFERROR(INDEX('DM_XaPhuong'!$B$2:$B$169,AGGREGATE(15,6,ROW('DM_XaPhuong'!$B$2:$B$169)-ROW('DM_XaPhuong'!$B$2)+1/ISNUMBER(SEARCH(SUBSTITUTE(UPPER($R256)," ",""),'DM_XaPhuong'!$C$2:$C$169)),1)),"Không tìm thấy"))</f>
        <v/>
      </c>
      <c r="AB256" s="5">
        <f>IF($T256="","",IFERROR(INDEX('DM_NgheNghiep'!$B$2:$B$11,AGGREGATE(15,6,ROW('DM_NgheNghiep'!$B$2:$B$11)-ROW('DM_NgheNghiep'!$B$2)+1/ISNUMBER(SEARCH(SUBSTITUTE(UPPER($T256)," ",""),'DM_NgheNghiep'!$C$2:$C$11)),1)),"Không tìm thấy"))</f>
        <v/>
      </c>
      <c r="AD256" s="5">
        <f>IF($U256="","",IFERROR(INDEX('DM_NoiCongTac'!$B$2:$B$11,AGGREGATE(15,6,ROW('DM_NoiCongTac'!$B$2:$B$11)-ROW('DM_NoiCongTac'!$B$2)+1/ISNUMBER(SEARCH(SUBSTITUTE(UPPER($U256)," ",""),'DM_NoiCongTac'!$C$2:$C$11)),1)),"Không tìm thấy"))</f>
        <v/>
      </c>
      <c r="AF256" s="5">
        <f>IF($V256="","",IFERROR(INDEX('DM_XaPhuong'!$B$2:$B$169,AGGREGATE(15,6,ROW('DM_XaPhuong'!$B$2:$B$169)-ROW('DM_XaPhuong'!$B$2)+1/ISNUMBER(SEARCH(SUBSTITUTE(UPPER($V256)," ",""),'DM_XaPhuong'!$C$2:$C$169)),1)),"Không tìm thấy"))</f>
        <v/>
      </c>
    </row>
    <row r="257">
      <c r="C257" s="5">
        <f>IF($B257="","",IFERROR(INDEX('DM_DoiTuong'!$B$2:$B$19,AGGREGATE(15,6,ROW('DM_DoiTuong'!$B$2:$B$19)-ROW('DM_DoiTuong'!$B$2)+1/ISNUMBER(SEARCH(SUBSTITUTE(UPPER($B257)," ",""),'DM_DoiTuong'!$C$2:$C$19)),1)),"Không tìm thấy"))</f>
        <v/>
      </c>
      <c r="E257" s="5">
        <f>IF($C257="","",IFERROR(INDEX('DM_DiaDiemKham'!$B$2:$B$6,AGGREGATE(15,6,ROW('DM_DiaDiemKham'!$B$2:$B$6)-ROW('DM_DiaDiemKham'!$B$2)+1/ISNUMBER(SEARCH(SUBSTITUTE(UPPER($C257)," ",""),'DM_DiaDiemKham'!$C$2:$C$6)),1)),"Không tìm thấy"))</f>
        <v/>
      </c>
      <c r="G257" s="5">
        <f>IF($D257="","",IFERROR(INDEX('DM_HinhThucChiTra'!$B$2:$B$5,AGGREGATE(15,6,ROW('DM_HinhThucChiTra'!$B$2:$B$5)-ROW('DM_HinhThucChiTra'!$B$2)+1/ISNUMBER(SEARCH(SUBSTITUTE(UPPER($D257)," ",""),'DM_HinhThucChiTra'!$C$2:$C$5)),1)),"Không tìm thấy"))</f>
        <v/>
      </c>
      <c r="I257" s="5">
        <f>IF($E257="","",IFERROR(INDEX('DM_HinhThucKham'!$B$2:$B$3,AGGREGATE(15,6,ROW('DM_HinhThucKham'!$B$2:$B$3)-ROW('DM_HinhThucKham'!$B$2)+1/ISNUMBER(SEARCH(SUBSTITUTE(UPPER($E257)," ",""),'DM_HinhThucKham'!$C$2:$C$3)),1)),"Không tìm thấy"))</f>
        <v/>
      </c>
      <c r="P257" s="5">
        <f>IF($K257="","",IFERROR(INDEX('DM_DanToc'!$B$2:$B$78,AGGREGATE(15,6,ROW('DM_DanToc'!$B$2:$B$78)-ROW('DM_DanToc'!$B$2)+1/ISNUMBER(SEARCH(SUBSTITUTE(UPPER($K257)," ",""),'DM_DanToc'!$C$2:$C$78)),1)),"Không tìm thấy"))</f>
        <v/>
      </c>
      <c r="W257" s="5">
        <f>IF($Q257="","",IFERROR(INDEX('DM_TinhThanh'!$B$2:$B$35,AGGREGATE(15,6,ROW('DM_TinhThanh'!$B$2:$B$35)-ROW('DM_TinhThanh'!$B$2)+1/ISNUMBER(SEARCH(SUBSTITUTE(UPPER($Q257)," ",""),'DM_TinhThanh'!$C$2:$C$35)),1)),"Không tìm thấy"))</f>
        <v/>
      </c>
      <c r="Y257" s="5">
        <f>IF($R257="","",IFERROR(INDEX('DM_XaPhuong'!$B$2:$B$169,AGGREGATE(15,6,ROW('DM_XaPhuong'!$B$2:$B$169)-ROW('DM_XaPhuong'!$B$2)+1/ISNUMBER(SEARCH(SUBSTITUTE(UPPER($R257)," ",""),'DM_XaPhuong'!$C$2:$C$169)),1)),"Không tìm thấy"))</f>
        <v/>
      </c>
      <c r="AB257" s="5">
        <f>IF($T257="","",IFERROR(INDEX('DM_NgheNghiep'!$B$2:$B$11,AGGREGATE(15,6,ROW('DM_NgheNghiep'!$B$2:$B$11)-ROW('DM_NgheNghiep'!$B$2)+1/ISNUMBER(SEARCH(SUBSTITUTE(UPPER($T257)," ",""),'DM_NgheNghiep'!$C$2:$C$11)),1)),"Không tìm thấy"))</f>
        <v/>
      </c>
      <c r="AD257" s="5">
        <f>IF($U257="","",IFERROR(INDEX('DM_NoiCongTac'!$B$2:$B$11,AGGREGATE(15,6,ROW('DM_NoiCongTac'!$B$2:$B$11)-ROW('DM_NoiCongTac'!$B$2)+1/ISNUMBER(SEARCH(SUBSTITUTE(UPPER($U257)," ",""),'DM_NoiCongTac'!$C$2:$C$11)),1)),"Không tìm thấy"))</f>
        <v/>
      </c>
      <c r="AF257" s="5">
        <f>IF($V257="","",IFERROR(INDEX('DM_XaPhuong'!$B$2:$B$169,AGGREGATE(15,6,ROW('DM_XaPhuong'!$B$2:$B$169)-ROW('DM_XaPhuong'!$B$2)+1/ISNUMBER(SEARCH(SUBSTITUTE(UPPER($V257)," ",""),'DM_XaPhuong'!$C$2:$C$169)),1)),"Không tìm thấy"))</f>
        <v/>
      </c>
    </row>
    <row r="258">
      <c r="C258" s="5">
        <f>IF($B258="","",IFERROR(INDEX('DM_DoiTuong'!$B$2:$B$19,AGGREGATE(15,6,ROW('DM_DoiTuong'!$B$2:$B$19)-ROW('DM_DoiTuong'!$B$2)+1/ISNUMBER(SEARCH(SUBSTITUTE(UPPER($B258)," ",""),'DM_DoiTuong'!$C$2:$C$19)),1)),"Không tìm thấy"))</f>
        <v/>
      </c>
      <c r="E258" s="5">
        <f>IF($C258="","",IFERROR(INDEX('DM_DiaDiemKham'!$B$2:$B$6,AGGREGATE(15,6,ROW('DM_DiaDiemKham'!$B$2:$B$6)-ROW('DM_DiaDiemKham'!$B$2)+1/ISNUMBER(SEARCH(SUBSTITUTE(UPPER($C258)," ",""),'DM_DiaDiemKham'!$C$2:$C$6)),1)),"Không tìm thấy"))</f>
        <v/>
      </c>
      <c r="G258" s="5">
        <f>IF($D258="","",IFERROR(INDEX('DM_HinhThucChiTra'!$B$2:$B$5,AGGREGATE(15,6,ROW('DM_HinhThucChiTra'!$B$2:$B$5)-ROW('DM_HinhThucChiTra'!$B$2)+1/ISNUMBER(SEARCH(SUBSTITUTE(UPPER($D258)," ",""),'DM_HinhThucChiTra'!$C$2:$C$5)),1)),"Không tìm thấy"))</f>
        <v/>
      </c>
      <c r="I258" s="5">
        <f>IF($E258="","",IFERROR(INDEX('DM_HinhThucKham'!$B$2:$B$3,AGGREGATE(15,6,ROW('DM_HinhThucKham'!$B$2:$B$3)-ROW('DM_HinhThucKham'!$B$2)+1/ISNUMBER(SEARCH(SUBSTITUTE(UPPER($E258)," ",""),'DM_HinhThucKham'!$C$2:$C$3)),1)),"Không tìm thấy"))</f>
        <v/>
      </c>
      <c r="P258" s="5">
        <f>IF($K258="","",IFERROR(INDEX('DM_DanToc'!$B$2:$B$78,AGGREGATE(15,6,ROW('DM_DanToc'!$B$2:$B$78)-ROW('DM_DanToc'!$B$2)+1/ISNUMBER(SEARCH(SUBSTITUTE(UPPER($K258)," ",""),'DM_DanToc'!$C$2:$C$78)),1)),"Không tìm thấy"))</f>
        <v/>
      </c>
      <c r="W258" s="5">
        <f>IF($Q258="","",IFERROR(INDEX('DM_TinhThanh'!$B$2:$B$35,AGGREGATE(15,6,ROW('DM_TinhThanh'!$B$2:$B$35)-ROW('DM_TinhThanh'!$B$2)+1/ISNUMBER(SEARCH(SUBSTITUTE(UPPER($Q258)," ",""),'DM_TinhThanh'!$C$2:$C$35)),1)),"Không tìm thấy"))</f>
        <v/>
      </c>
      <c r="Y258" s="5">
        <f>IF($R258="","",IFERROR(INDEX('DM_XaPhuong'!$B$2:$B$169,AGGREGATE(15,6,ROW('DM_XaPhuong'!$B$2:$B$169)-ROW('DM_XaPhuong'!$B$2)+1/ISNUMBER(SEARCH(SUBSTITUTE(UPPER($R258)," ",""),'DM_XaPhuong'!$C$2:$C$169)),1)),"Không tìm thấy"))</f>
        <v/>
      </c>
      <c r="AB258" s="5">
        <f>IF($T258="","",IFERROR(INDEX('DM_NgheNghiep'!$B$2:$B$11,AGGREGATE(15,6,ROW('DM_NgheNghiep'!$B$2:$B$11)-ROW('DM_NgheNghiep'!$B$2)+1/ISNUMBER(SEARCH(SUBSTITUTE(UPPER($T258)," ",""),'DM_NgheNghiep'!$C$2:$C$11)),1)),"Không tìm thấy"))</f>
        <v/>
      </c>
      <c r="AD258" s="5">
        <f>IF($U258="","",IFERROR(INDEX('DM_NoiCongTac'!$B$2:$B$11,AGGREGATE(15,6,ROW('DM_NoiCongTac'!$B$2:$B$11)-ROW('DM_NoiCongTac'!$B$2)+1/ISNUMBER(SEARCH(SUBSTITUTE(UPPER($U258)," ",""),'DM_NoiCongTac'!$C$2:$C$11)),1)),"Không tìm thấy"))</f>
        <v/>
      </c>
      <c r="AF258" s="5">
        <f>IF($V258="","",IFERROR(INDEX('DM_XaPhuong'!$B$2:$B$169,AGGREGATE(15,6,ROW('DM_XaPhuong'!$B$2:$B$169)-ROW('DM_XaPhuong'!$B$2)+1/ISNUMBER(SEARCH(SUBSTITUTE(UPPER($V258)," ",""),'DM_XaPhuong'!$C$2:$C$169)),1)),"Không tìm thấy"))</f>
        <v/>
      </c>
    </row>
    <row r="259">
      <c r="C259" s="5">
        <f>IF($B259="","",IFERROR(INDEX('DM_DoiTuong'!$B$2:$B$19,AGGREGATE(15,6,ROW('DM_DoiTuong'!$B$2:$B$19)-ROW('DM_DoiTuong'!$B$2)+1/ISNUMBER(SEARCH(SUBSTITUTE(UPPER($B259)," ",""),'DM_DoiTuong'!$C$2:$C$19)),1)),"Không tìm thấy"))</f>
        <v/>
      </c>
      <c r="E259" s="5">
        <f>IF($C259="","",IFERROR(INDEX('DM_DiaDiemKham'!$B$2:$B$6,AGGREGATE(15,6,ROW('DM_DiaDiemKham'!$B$2:$B$6)-ROW('DM_DiaDiemKham'!$B$2)+1/ISNUMBER(SEARCH(SUBSTITUTE(UPPER($C259)," ",""),'DM_DiaDiemKham'!$C$2:$C$6)),1)),"Không tìm thấy"))</f>
        <v/>
      </c>
      <c r="G259" s="5">
        <f>IF($D259="","",IFERROR(INDEX('DM_HinhThucChiTra'!$B$2:$B$5,AGGREGATE(15,6,ROW('DM_HinhThucChiTra'!$B$2:$B$5)-ROW('DM_HinhThucChiTra'!$B$2)+1/ISNUMBER(SEARCH(SUBSTITUTE(UPPER($D259)," ",""),'DM_HinhThucChiTra'!$C$2:$C$5)),1)),"Không tìm thấy"))</f>
        <v/>
      </c>
      <c r="I259" s="5">
        <f>IF($E259="","",IFERROR(INDEX('DM_HinhThucKham'!$B$2:$B$3,AGGREGATE(15,6,ROW('DM_HinhThucKham'!$B$2:$B$3)-ROW('DM_HinhThucKham'!$B$2)+1/ISNUMBER(SEARCH(SUBSTITUTE(UPPER($E259)," ",""),'DM_HinhThucKham'!$C$2:$C$3)),1)),"Không tìm thấy"))</f>
        <v/>
      </c>
      <c r="P259" s="5">
        <f>IF($K259="","",IFERROR(INDEX('DM_DanToc'!$B$2:$B$78,AGGREGATE(15,6,ROW('DM_DanToc'!$B$2:$B$78)-ROW('DM_DanToc'!$B$2)+1/ISNUMBER(SEARCH(SUBSTITUTE(UPPER($K259)," ",""),'DM_DanToc'!$C$2:$C$78)),1)),"Không tìm thấy"))</f>
        <v/>
      </c>
      <c r="W259" s="5">
        <f>IF($Q259="","",IFERROR(INDEX('DM_TinhThanh'!$B$2:$B$35,AGGREGATE(15,6,ROW('DM_TinhThanh'!$B$2:$B$35)-ROW('DM_TinhThanh'!$B$2)+1/ISNUMBER(SEARCH(SUBSTITUTE(UPPER($Q259)," ",""),'DM_TinhThanh'!$C$2:$C$35)),1)),"Không tìm thấy"))</f>
        <v/>
      </c>
      <c r="Y259" s="5">
        <f>IF($R259="","",IFERROR(INDEX('DM_XaPhuong'!$B$2:$B$169,AGGREGATE(15,6,ROW('DM_XaPhuong'!$B$2:$B$169)-ROW('DM_XaPhuong'!$B$2)+1/ISNUMBER(SEARCH(SUBSTITUTE(UPPER($R259)," ",""),'DM_XaPhuong'!$C$2:$C$169)),1)),"Không tìm thấy"))</f>
        <v/>
      </c>
      <c r="AB259" s="5">
        <f>IF($T259="","",IFERROR(INDEX('DM_NgheNghiep'!$B$2:$B$11,AGGREGATE(15,6,ROW('DM_NgheNghiep'!$B$2:$B$11)-ROW('DM_NgheNghiep'!$B$2)+1/ISNUMBER(SEARCH(SUBSTITUTE(UPPER($T259)," ",""),'DM_NgheNghiep'!$C$2:$C$11)),1)),"Không tìm thấy"))</f>
        <v/>
      </c>
      <c r="AD259" s="5">
        <f>IF($U259="","",IFERROR(INDEX('DM_NoiCongTac'!$B$2:$B$11,AGGREGATE(15,6,ROW('DM_NoiCongTac'!$B$2:$B$11)-ROW('DM_NoiCongTac'!$B$2)+1/ISNUMBER(SEARCH(SUBSTITUTE(UPPER($U259)," ",""),'DM_NoiCongTac'!$C$2:$C$11)),1)),"Không tìm thấy"))</f>
        <v/>
      </c>
      <c r="AF259" s="5">
        <f>IF($V259="","",IFERROR(INDEX('DM_XaPhuong'!$B$2:$B$169,AGGREGATE(15,6,ROW('DM_XaPhuong'!$B$2:$B$169)-ROW('DM_XaPhuong'!$B$2)+1/ISNUMBER(SEARCH(SUBSTITUTE(UPPER($V259)," ",""),'DM_XaPhuong'!$C$2:$C$169)),1)),"Không tìm thấy"))</f>
        <v/>
      </c>
    </row>
    <row r="260">
      <c r="C260" s="5">
        <f>IF($B260="","",IFERROR(INDEX('DM_DoiTuong'!$B$2:$B$19,AGGREGATE(15,6,ROW('DM_DoiTuong'!$B$2:$B$19)-ROW('DM_DoiTuong'!$B$2)+1/ISNUMBER(SEARCH(SUBSTITUTE(UPPER($B260)," ",""),'DM_DoiTuong'!$C$2:$C$19)),1)),"Không tìm thấy"))</f>
        <v/>
      </c>
      <c r="E260" s="5">
        <f>IF($C260="","",IFERROR(INDEX('DM_DiaDiemKham'!$B$2:$B$6,AGGREGATE(15,6,ROW('DM_DiaDiemKham'!$B$2:$B$6)-ROW('DM_DiaDiemKham'!$B$2)+1/ISNUMBER(SEARCH(SUBSTITUTE(UPPER($C260)," ",""),'DM_DiaDiemKham'!$C$2:$C$6)),1)),"Không tìm thấy"))</f>
        <v/>
      </c>
      <c r="G260" s="5">
        <f>IF($D260="","",IFERROR(INDEX('DM_HinhThucChiTra'!$B$2:$B$5,AGGREGATE(15,6,ROW('DM_HinhThucChiTra'!$B$2:$B$5)-ROW('DM_HinhThucChiTra'!$B$2)+1/ISNUMBER(SEARCH(SUBSTITUTE(UPPER($D260)," ",""),'DM_HinhThucChiTra'!$C$2:$C$5)),1)),"Không tìm thấy"))</f>
        <v/>
      </c>
      <c r="I260" s="5">
        <f>IF($E260="","",IFERROR(INDEX('DM_HinhThucKham'!$B$2:$B$3,AGGREGATE(15,6,ROW('DM_HinhThucKham'!$B$2:$B$3)-ROW('DM_HinhThucKham'!$B$2)+1/ISNUMBER(SEARCH(SUBSTITUTE(UPPER($E260)," ",""),'DM_HinhThucKham'!$C$2:$C$3)),1)),"Không tìm thấy"))</f>
        <v/>
      </c>
      <c r="P260" s="5">
        <f>IF($K260="","",IFERROR(INDEX('DM_DanToc'!$B$2:$B$78,AGGREGATE(15,6,ROW('DM_DanToc'!$B$2:$B$78)-ROW('DM_DanToc'!$B$2)+1/ISNUMBER(SEARCH(SUBSTITUTE(UPPER($K260)," ",""),'DM_DanToc'!$C$2:$C$78)),1)),"Không tìm thấy"))</f>
        <v/>
      </c>
      <c r="W260" s="5">
        <f>IF($Q260="","",IFERROR(INDEX('DM_TinhThanh'!$B$2:$B$35,AGGREGATE(15,6,ROW('DM_TinhThanh'!$B$2:$B$35)-ROW('DM_TinhThanh'!$B$2)+1/ISNUMBER(SEARCH(SUBSTITUTE(UPPER($Q260)," ",""),'DM_TinhThanh'!$C$2:$C$35)),1)),"Không tìm thấy"))</f>
        <v/>
      </c>
      <c r="Y260" s="5">
        <f>IF($R260="","",IFERROR(INDEX('DM_XaPhuong'!$B$2:$B$169,AGGREGATE(15,6,ROW('DM_XaPhuong'!$B$2:$B$169)-ROW('DM_XaPhuong'!$B$2)+1/ISNUMBER(SEARCH(SUBSTITUTE(UPPER($R260)," ",""),'DM_XaPhuong'!$C$2:$C$169)),1)),"Không tìm thấy"))</f>
        <v/>
      </c>
      <c r="AB260" s="5">
        <f>IF($T260="","",IFERROR(INDEX('DM_NgheNghiep'!$B$2:$B$11,AGGREGATE(15,6,ROW('DM_NgheNghiep'!$B$2:$B$11)-ROW('DM_NgheNghiep'!$B$2)+1/ISNUMBER(SEARCH(SUBSTITUTE(UPPER($T260)," ",""),'DM_NgheNghiep'!$C$2:$C$11)),1)),"Không tìm thấy"))</f>
        <v/>
      </c>
      <c r="AD260" s="5">
        <f>IF($U260="","",IFERROR(INDEX('DM_NoiCongTac'!$B$2:$B$11,AGGREGATE(15,6,ROW('DM_NoiCongTac'!$B$2:$B$11)-ROW('DM_NoiCongTac'!$B$2)+1/ISNUMBER(SEARCH(SUBSTITUTE(UPPER($U260)," ",""),'DM_NoiCongTac'!$C$2:$C$11)),1)),"Không tìm thấy"))</f>
        <v/>
      </c>
      <c r="AF260" s="5">
        <f>IF($V260="","",IFERROR(INDEX('DM_XaPhuong'!$B$2:$B$169,AGGREGATE(15,6,ROW('DM_XaPhuong'!$B$2:$B$169)-ROW('DM_XaPhuong'!$B$2)+1/ISNUMBER(SEARCH(SUBSTITUTE(UPPER($V260)," ",""),'DM_XaPhuong'!$C$2:$C$169)),1)),"Không tìm thấy"))</f>
        <v/>
      </c>
    </row>
    <row r="261">
      <c r="C261" s="5">
        <f>IF($B261="","",IFERROR(INDEX('DM_DoiTuong'!$B$2:$B$19,AGGREGATE(15,6,ROW('DM_DoiTuong'!$B$2:$B$19)-ROW('DM_DoiTuong'!$B$2)+1/ISNUMBER(SEARCH(SUBSTITUTE(UPPER($B261)," ",""),'DM_DoiTuong'!$C$2:$C$19)),1)),"Không tìm thấy"))</f>
        <v/>
      </c>
      <c r="E261" s="5">
        <f>IF($C261="","",IFERROR(INDEX('DM_DiaDiemKham'!$B$2:$B$6,AGGREGATE(15,6,ROW('DM_DiaDiemKham'!$B$2:$B$6)-ROW('DM_DiaDiemKham'!$B$2)+1/ISNUMBER(SEARCH(SUBSTITUTE(UPPER($C261)," ",""),'DM_DiaDiemKham'!$C$2:$C$6)),1)),"Không tìm thấy"))</f>
        <v/>
      </c>
      <c r="G261" s="5">
        <f>IF($D261="","",IFERROR(INDEX('DM_HinhThucChiTra'!$B$2:$B$5,AGGREGATE(15,6,ROW('DM_HinhThucChiTra'!$B$2:$B$5)-ROW('DM_HinhThucChiTra'!$B$2)+1/ISNUMBER(SEARCH(SUBSTITUTE(UPPER($D261)," ",""),'DM_HinhThucChiTra'!$C$2:$C$5)),1)),"Không tìm thấy"))</f>
        <v/>
      </c>
      <c r="I261" s="5">
        <f>IF($E261="","",IFERROR(INDEX('DM_HinhThucKham'!$B$2:$B$3,AGGREGATE(15,6,ROW('DM_HinhThucKham'!$B$2:$B$3)-ROW('DM_HinhThucKham'!$B$2)+1/ISNUMBER(SEARCH(SUBSTITUTE(UPPER($E261)," ",""),'DM_HinhThucKham'!$C$2:$C$3)),1)),"Không tìm thấy"))</f>
        <v/>
      </c>
      <c r="P261" s="5">
        <f>IF($K261="","",IFERROR(INDEX('DM_DanToc'!$B$2:$B$78,AGGREGATE(15,6,ROW('DM_DanToc'!$B$2:$B$78)-ROW('DM_DanToc'!$B$2)+1/ISNUMBER(SEARCH(SUBSTITUTE(UPPER($K261)," ",""),'DM_DanToc'!$C$2:$C$78)),1)),"Không tìm thấy"))</f>
        <v/>
      </c>
      <c r="W261" s="5">
        <f>IF($Q261="","",IFERROR(INDEX('DM_TinhThanh'!$B$2:$B$35,AGGREGATE(15,6,ROW('DM_TinhThanh'!$B$2:$B$35)-ROW('DM_TinhThanh'!$B$2)+1/ISNUMBER(SEARCH(SUBSTITUTE(UPPER($Q261)," ",""),'DM_TinhThanh'!$C$2:$C$35)),1)),"Không tìm thấy"))</f>
        <v/>
      </c>
      <c r="Y261" s="5">
        <f>IF($R261="","",IFERROR(INDEX('DM_XaPhuong'!$B$2:$B$169,AGGREGATE(15,6,ROW('DM_XaPhuong'!$B$2:$B$169)-ROW('DM_XaPhuong'!$B$2)+1/ISNUMBER(SEARCH(SUBSTITUTE(UPPER($R261)," ",""),'DM_XaPhuong'!$C$2:$C$169)),1)),"Không tìm thấy"))</f>
        <v/>
      </c>
      <c r="AB261" s="5">
        <f>IF($T261="","",IFERROR(INDEX('DM_NgheNghiep'!$B$2:$B$11,AGGREGATE(15,6,ROW('DM_NgheNghiep'!$B$2:$B$11)-ROW('DM_NgheNghiep'!$B$2)+1/ISNUMBER(SEARCH(SUBSTITUTE(UPPER($T261)," ",""),'DM_NgheNghiep'!$C$2:$C$11)),1)),"Không tìm thấy"))</f>
        <v/>
      </c>
      <c r="AD261" s="5">
        <f>IF($U261="","",IFERROR(INDEX('DM_NoiCongTac'!$B$2:$B$11,AGGREGATE(15,6,ROW('DM_NoiCongTac'!$B$2:$B$11)-ROW('DM_NoiCongTac'!$B$2)+1/ISNUMBER(SEARCH(SUBSTITUTE(UPPER($U261)," ",""),'DM_NoiCongTac'!$C$2:$C$11)),1)),"Không tìm thấy"))</f>
        <v/>
      </c>
      <c r="AF261" s="5">
        <f>IF($V261="","",IFERROR(INDEX('DM_XaPhuong'!$B$2:$B$169,AGGREGATE(15,6,ROW('DM_XaPhuong'!$B$2:$B$169)-ROW('DM_XaPhuong'!$B$2)+1/ISNUMBER(SEARCH(SUBSTITUTE(UPPER($V261)," ",""),'DM_XaPhuong'!$C$2:$C$169)),1)),"Không tìm thấy"))</f>
        <v/>
      </c>
    </row>
    <row r="262">
      <c r="C262" s="5">
        <f>IF($B262="","",IFERROR(INDEX('DM_DoiTuong'!$B$2:$B$19,AGGREGATE(15,6,ROW('DM_DoiTuong'!$B$2:$B$19)-ROW('DM_DoiTuong'!$B$2)+1/ISNUMBER(SEARCH(SUBSTITUTE(UPPER($B262)," ",""),'DM_DoiTuong'!$C$2:$C$19)),1)),"Không tìm thấy"))</f>
        <v/>
      </c>
      <c r="E262" s="5">
        <f>IF($C262="","",IFERROR(INDEX('DM_DiaDiemKham'!$B$2:$B$6,AGGREGATE(15,6,ROW('DM_DiaDiemKham'!$B$2:$B$6)-ROW('DM_DiaDiemKham'!$B$2)+1/ISNUMBER(SEARCH(SUBSTITUTE(UPPER($C262)," ",""),'DM_DiaDiemKham'!$C$2:$C$6)),1)),"Không tìm thấy"))</f>
        <v/>
      </c>
      <c r="G262" s="5">
        <f>IF($D262="","",IFERROR(INDEX('DM_HinhThucChiTra'!$B$2:$B$5,AGGREGATE(15,6,ROW('DM_HinhThucChiTra'!$B$2:$B$5)-ROW('DM_HinhThucChiTra'!$B$2)+1/ISNUMBER(SEARCH(SUBSTITUTE(UPPER($D262)," ",""),'DM_HinhThucChiTra'!$C$2:$C$5)),1)),"Không tìm thấy"))</f>
        <v/>
      </c>
      <c r="I262" s="5">
        <f>IF($E262="","",IFERROR(INDEX('DM_HinhThucKham'!$B$2:$B$3,AGGREGATE(15,6,ROW('DM_HinhThucKham'!$B$2:$B$3)-ROW('DM_HinhThucKham'!$B$2)+1/ISNUMBER(SEARCH(SUBSTITUTE(UPPER($E262)," ",""),'DM_HinhThucKham'!$C$2:$C$3)),1)),"Không tìm thấy"))</f>
        <v/>
      </c>
      <c r="P262" s="5">
        <f>IF($K262="","",IFERROR(INDEX('DM_DanToc'!$B$2:$B$78,AGGREGATE(15,6,ROW('DM_DanToc'!$B$2:$B$78)-ROW('DM_DanToc'!$B$2)+1/ISNUMBER(SEARCH(SUBSTITUTE(UPPER($K262)," ",""),'DM_DanToc'!$C$2:$C$78)),1)),"Không tìm thấy"))</f>
        <v/>
      </c>
      <c r="W262" s="5">
        <f>IF($Q262="","",IFERROR(INDEX('DM_TinhThanh'!$B$2:$B$35,AGGREGATE(15,6,ROW('DM_TinhThanh'!$B$2:$B$35)-ROW('DM_TinhThanh'!$B$2)+1/ISNUMBER(SEARCH(SUBSTITUTE(UPPER($Q262)," ",""),'DM_TinhThanh'!$C$2:$C$35)),1)),"Không tìm thấy"))</f>
        <v/>
      </c>
      <c r="Y262" s="5">
        <f>IF($R262="","",IFERROR(INDEX('DM_XaPhuong'!$B$2:$B$169,AGGREGATE(15,6,ROW('DM_XaPhuong'!$B$2:$B$169)-ROW('DM_XaPhuong'!$B$2)+1/ISNUMBER(SEARCH(SUBSTITUTE(UPPER($R262)," ",""),'DM_XaPhuong'!$C$2:$C$169)),1)),"Không tìm thấy"))</f>
        <v/>
      </c>
      <c r="AB262" s="5">
        <f>IF($T262="","",IFERROR(INDEX('DM_NgheNghiep'!$B$2:$B$11,AGGREGATE(15,6,ROW('DM_NgheNghiep'!$B$2:$B$11)-ROW('DM_NgheNghiep'!$B$2)+1/ISNUMBER(SEARCH(SUBSTITUTE(UPPER($T262)," ",""),'DM_NgheNghiep'!$C$2:$C$11)),1)),"Không tìm thấy"))</f>
        <v/>
      </c>
      <c r="AD262" s="5">
        <f>IF($U262="","",IFERROR(INDEX('DM_NoiCongTac'!$B$2:$B$11,AGGREGATE(15,6,ROW('DM_NoiCongTac'!$B$2:$B$11)-ROW('DM_NoiCongTac'!$B$2)+1/ISNUMBER(SEARCH(SUBSTITUTE(UPPER($U262)," ",""),'DM_NoiCongTac'!$C$2:$C$11)),1)),"Không tìm thấy"))</f>
        <v/>
      </c>
      <c r="AF262" s="5">
        <f>IF($V262="","",IFERROR(INDEX('DM_XaPhuong'!$B$2:$B$169,AGGREGATE(15,6,ROW('DM_XaPhuong'!$B$2:$B$169)-ROW('DM_XaPhuong'!$B$2)+1/ISNUMBER(SEARCH(SUBSTITUTE(UPPER($V262)," ",""),'DM_XaPhuong'!$C$2:$C$169)),1)),"Không tìm thấy"))</f>
        <v/>
      </c>
    </row>
    <row r="263">
      <c r="C263" s="5">
        <f>IF($B263="","",IFERROR(INDEX('DM_DoiTuong'!$B$2:$B$19,AGGREGATE(15,6,ROW('DM_DoiTuong'!$B$2:$B$19)-ROW('DM_DoiTuong'!$B$2)+1/ISNUMBER(SEARCH(SUBSTITUTE(UPPER($B263)," ",""),'DM_DoiTuong'!$C$2:$C$19)),1)),"Không tìm thấy"))</f>
        <v/>
      </c>
      <c r="E263" s="5">
        <f>IF($C263="","",IFERROR(INDEX('DM_DiaDiemKham'!$B$2:$B$6,AGGREGATE(15,6,ROW('DM_DiaDiemKham'!$B$2:$B$6)-ROW('DM_DiaDiemKham'!$B$2)+1/ISNUMBER(SEARCH(SUBSTITUTE(UPPER($C263)," ",""),'DM_DiaDiemKham'!$C$2:$C$6)),1)),"Không tìm thấy"))</f>
        <v/>
      </c>
      <c r="G263" s="5">
        <f>IF($D263="","",IFERROR(INDEX('DM_HinhThucChiTra'!$B$2:$B$5,AGGREGATE(15,6,ROW('DM_HinhThucChiTra'!$B$2:$B$5)-ROW('DM_HinhThucChiTra'!$B$2)+1/ISNUMBER(SEARCH(SUBSTITUTE(UPPER($D263)," ",""),'DM_HinhThucChiTra'!$C$2:$C$5)),1)),"Không tìm thấy"))</f>
        <v/>
      </c>
      <c r="I263" s="5">
        <f>IF($E263="","",IFERROR(INDEX('DM_HinhThucKham'!$B$2:$B$3,AGGREGATE(15,6,ROW('DM_HinhThucKham'!$B$2:$B$3)-ROW('DM_HinhThucKham'!$B$2)+1/ISNUMBER(SEARCH(SUBSTITUTE(UPPER($E263)," ",""),'DM_HinhThucKham'!$C$2:$C$3)),1)),"Không tìm thấy"))</f>
        <v/>
      </c>
      <c r="P263" s="5">
        <f>IF($K263="","",IFERROR(INDEX('DM_DanToc'!$B$2:$B$78,AGGREGATE(15,6,ROW('DM_DanToc'!$B$2:$B$78)-ROW('DM_DanToc'!$B$2)+1/ISNUMBER(SEARCH(SUBSTITUTE(UPPER($K263)," ",""),'DM_DanToc'!$C$2:$C$78)),1)),"Không tìm thấy"))</f>
        <v/>
      </c>
      <c r="W263" s="5">
        <f>IF($Q263="","",IFERROR(INDEX('DM_TinhThanh'!$B$2:$B$35,AGGREGATE(15,6,ROW('DM_TinhThanh'!$B$2:$B$35)-ROW('DM_TinhThanh'!$B$2)+1/ISNUMBER(SEARCH(SUBSTITUTE(UPPER($Q263)," ",""),'DM_TinhThanh'!$C$2:$C$35)),1)),"Không tìm thấy"))</f>
        <v/>
      </c>
      <c r="Y263" s="5">
        <f>IF($R263="","",IFERROR(INDEX('DM_XaPhuong'!$B$2:$B$169,AGGREGATE(15,6,ROW('DM_XaPhuong'!$B$2:$B$169)-ROW('DM_XaPhuong'!$B$2)+1/ISNUMBER(SEARCH(SUBSTITUTE(UPPER($R263)," ",""),'DM_XaPhuong'!$C$2:$C$169)),1)),"Không tìm thấy"))</f>
        <v/>
      </c>
      <c r="AB263" s="5">
        <f>IF($T263="","",IFERROR(INDEX('DM_NgheNghiep'!$B$2:$B$11,AGGREGATE(15,6,ROW('DM_NgheNghiep'!$B$2:$B$11)-ROW('DM_NgheNghiep'!$B$2)+1/ISNUMBER(SEARCH(SUBSTITUTE(UPPER($T263)," ",""),'DM_NgheNghiep'!$C$2:$C$11)),1)),"Không tìm thấy"))</f>
        <v/>
      </c>
      <c r="AD263" s="5">
        <f>IF($U263="","",IFERROR(INDEX('DM_NoiCongTac'!$B$2:$B$11,AGGREGATE(15,6,ROW('DM_NoiCongTac'!$B$2:$B$11)-ROW('DM_NoiCongTac'!$B$2)+1/ISNUMBER(SEARCH(SUBSTITUTE(UPPER($U263)," ",""),'DM_NoiCongTac'!$C$2:$C$11)),1)),"Không tìm thấy"))</f>
        <v/>
      </c>
      <c r="AF263" s="5">
        <f>IF($V263="","",IFERROR(INDEX('DM_XaPhuong'!$B$2:$B$169,AGGREGATE(15,6,ROW('DM_XaPhuong'!$B$2:$B$169)-ROW('DM_XaPhuong'!$B$2)+1/ISNUMBER(SEARCH(SUBSTITUTE(UPPER($V263)," ",""),'DM_XaPhuong'!$C$2:$C$169)),1)),"Không tìm thấy"))</f>
        <v/>
      </c>
    </row>
    <row r="264">
      <c r="C264" s="5">
        <f>IF($B264="","",IFERROR(INDEX('DM_DoiTuong'!$B$2:$B$19,AGGREGATE(15,6,ROW('DM_DoiTuong'!$B$2:$B$19)-ROW('DM_DoiTuong'!$B$2)+1/ISNUMBER(SEARCH(SUBSTITUTE(UPPER($B264)," ",""),'DM_DoiTuong'!$C$2:$C$19)),1)),"Không tìm thấy"))</f>
        <v/>
      </c>
      <c r="E264" s="5">
        <f>IF($C264="","",IFERROR(INDEX('DM_DiaDiemKham'!$B$2:$B$6,AGGREGATE(15,6,ROW('DM_DiaDiemKham'!$B$2:$B$6)-ROW('DM_DiaDiemKham'!$B$2)+1/ISNUMBER(SEARCH(SUBSTITUTE(UPPER($C264)," ",""),'DM_DiaDiemKham'!$C$2:$C$6)),1)),"Không tìm thấy"))</f>
        <v/>
      </c>
      <c r="G264" s="5">
        <f>IF($D264="","",IFERROR(INDEX('DM_HinhThucChiTra'!$B$2:$B$5,AGGREGATE(15,6,ROW('DM_HinhThucChiTra'!$B$2:$B$5)-ROW('DM_HinhThucChiTra'!$B$2)+1/ISNUMBER(SEARCH(SUBSTITUTE(UPPER($D264)," ",""),'DM_HinhThucChiTra'!$C$2:$C$5)),1)),"Không tìm thấy"))</f>
        <v/>
      </c>
      <c r="I264" s="5">
        <f>IF($E264="","",IFERROR(INDEX('DM_HinhThucKham'!$B$2:$B$3,AGGREGATE(15,6,ROW('DM_HinhThucKham'!$B$2:$B$3)-ROW('DM_HinhThucKham'!$B$2)+1/ISNUMBER(SEARCH(SUBSTITUTE(UPPER($E264)," ",""),'DM_HinhThucKham'!$C$2:$C$3)),1)),"Không tìm thấy"))</f>
        <v/>
      </c>
      <c r="P264" s="5">
        <f>IF($K264="","",IFERROR(INDEX('DM_DanToc'!$B$2:$B$78,AGGREGATE(15,6,ROW('DM_DanToc'!$B$2:$B$78)-ROW('DM_DanToc'!$B$2)+1/ISNUMBER(SEARCH(SUBSTITUTE(UPPER($K264)," ",""),'DM_DanToc'!$C$2:$C$78)),1)),"Không tìm thấy"))</f>
        <v/>
      </c>
      <c r="W264" s="5">
        <f>IF($Q264="","",IFERROR(INDEX('DM_TinhThanh'!$B$2:$B$35,AGGREGATE(15,6,ROW('DM_TinhThanh'!$B$2:$B$35)-ROW('DM_TinhThanh'!$B$2)+1/ISNUMBER(SEARCH(SUBSTITUTE(UPPER($Q264)," ",""),'DM_TinhThanh'!$C$2:$C$35)),1)),"Không tìm thấy"))</f>
        <v/>
      </c>
      <c r="Y264" s="5">
        <f>IF($R264="","",IFERROR(INDEX('DM_XaPhuong'!$B$2:$B$169,AGGREGATE(15,6,ROW('DM_XaPhuong'!$B$2:$B$169)-ROW('DM_XaPhuong'!$B$2)+1/ISNUMBER(SEARCH(SUBSTITUTE(UPPER($R264)," ",""),'DM_XaPhuong'!$C$2:$C$169)),1)),"Không tìm thấy"))</f>
        <v/>
      </c>
      <c r="AB264" s="5">
        <f>IF($T264="","",IFERROR(INDEX('DM_NgheNghiep'!$B$2:$B$11,AGGREGATE(15,6,ROW('DM_NgheNghiep'!$B$2:$B$11)-ROW('DM_NgheNghiep'!$B$2)+1/ISNUMBER(SEARCH(SUBSTITUTE(UPPER($T264)," ",""),'DM_NgheNghiep'!$C$2:$C$11)),1)),"Không tìm thấy"))</f>
        <v/>
      </c>
      <c r="AD264" s="5">
        <f>IF($U264="","",IFERROR(INDEX('DM_NoiCongTac'!$B$2:$B$11,AGGREGATE(15,6,ROW('DM_NoiCongTac'!$B$2:$B$11)-ROW('DM_NoiCongTac'!$B$2)+1/ISNUMBER(SEARCH(SUBSTITUTE(UPPER($U264)," ",""),'DM_NoiCongTac'!$C$2:$C$11)),1)),"Không tìm thấy"))</f>
        <v/>
      </c>
      <c r="AF264" s="5">
        <f>IF($V264="","",IFERROR(INDEX('DM_XaPhuong'!$B$2:$B$169,AGGREGATE(15,6,ROW('DM_XaPhuong'!$B$2:$B$169)-ROW('DM_XaPhuong'!$B$2)+1/ISNUMBER(SEARCH(SUBSTITUTE(UPPER($V264)," ",""),'DM_XaPhuong'!$C$2:$C$169)),1)),"Không tìm thấy"))</f>
        <v/>
      </c>
    </row>
    <row r="265">
      <c r="C265" s="5">
        <f>IF($B265="","",IFERROR(INDEX('DM_DoiTuong'!$B$2:$B$19,AGGREGATE(15,6,ROW('DM_DoiTuong'!$B$2:$B$19)-ROW('DM_DoiTuong'!$B$2)+1/ISNUMBER(SEARCH(SUBSTITUTE(UPPER($B265)," ",""),'DM_DoiTuong'!$C$2:$C$19)),1)),"Không tìm thấy"))</f>
        <v/>
      </c>
      <c r="E265" s="5">
        <f>IF($C265="","",IFERROR(INDEX('DM_DiaDiemKham'!$B$2:$B$6,AGGREGATE(15,6,ROW('DM_DiaDiemKham'!$B$2:$B$6)-ROW('DM_DiaDiemKham'!$B$2)+1/ISNUMBER(SEARCH(SUBSTITUTE(UPPER($C265)," ",""),'DM_DiaDiemKham'!$C$2:$C$6)),1)),"Không tìm thấy"))</f>
        <v/>
      </c>
      <c r="G265" s="5">
        <f>IF($D265="","",IFERROR(INDEX('DM_HinhThucChiTra'!$B$2:$B$5,AGGREGATE(15,6,ROW('DM_HinhThucChiTra'!$B$2:$B$5)-ROW('DM_HinhThucChiTra'!$B$2)+1/ISNUMBER(SEARCH(SUBSTITUTE(UPPER($D265)," ",""),'DM_HinhThucChiTra'!$C$2:$C$5)),1)),"Không tìm thấy"))</f>
        <v/>
      </c>
      <c r="I265" s="5">
        <f>IF($E265="","",IFERROR(INDEX('DM_HinhThucKham'!$B$2:$B$3,AGGREGATE(15,6,ROW('DM_HinhThucKham'!$B$2:$B$3)-ROW('DM_HinhThucKham'!$B$2)+1/ISNUMBER(SEARCH(SUBSTITUTE(UPPER($E265)," ",""),'DM_HinhThucKham'!$C$2:$C$3)),1)),"Không tìm thấy"))</f>
        <v/>
      </c>
      <c r="P265" s="5">
        <f>IF($K265="","",IFERROR(INDEX('DM_DanToc'!$B$2:$B$78,AGGREGATE(15,6,ROW('DM_DanToc'!$B$2:$B$78)-ROW('DM_DanToc'!$B$2)+1/ISNUMBER(SEARCH(SUBSTITUTE(UPPER($K265)," ",""),'DM_DanToc'!$C$2:$C$78)),1)),"Không tìm thấy"))</f>
        <v/>
      </c>
      <c r="W265" s="5">
        <f>IF($Q265="","",IFERROR(INDEX('DM_TinhThanh'!$B$2:$B$35,AGGREGATE(15,6,ROW('DM_TinhThanh'!$B$2:$B$35)-ROW('DM_TinhThanh'!$B$2)+1/ISNUMBER(SEARCH(SUBSTITUTE(UPPER($Q265)," ",""),'DM_TinhThanh'!$C$2:$C$35)),1)),"Không tìm thấy"))</f>
        <v/>
      </c>
      <c r="Y265" s="5">
        <f>IF($R265="","",IFERROR(INDEX('DM_XaPhuong'!$B$2:$B$169,AGGREGATE(15,6,ROW('DM_XaPhuong'!$B$2:$B$169)-ROW('DM_XaPhuong'!$B$2)+1/ISNUMBER(SEARCH(SUBSTITUTE(UPPER($R265)," ",""),'DM_XaPhuong'!$C$2:$C$169)),1)),"Không tìm thấy"))</f>
        <v/>
      </c>
      <c r="AB265" s="5">
        <f>IF($T265="","",IFERROR(INDEX('DM_NgheNghiep'!$B$2:$B$11,AGGREGATE(15,6,ROW('DM_NgheNghiep'!$B$2:$B$11)-ROW('DM_NgheNghiep'!$B$2)+1/ISNUMBER(SEARCH(SUBSTITUTE(UPPER($T265)," ",""),'DM_NgheNghiep'!$C$2:$C$11)),1)),"Không tìm thấy"))</f>
        <v/>
      </c>
      <c r="AD265" s="5">
        <f>IF($U265="","",IFERROR(INDEX('DM_NoiCongTac'!$B$2:$B$11,AGGREGATE(15,6,ROW('DM_NoiCongTac'!$B$2:$B$11)-ROW('DM_NoiCongTac'!$B$2)+1/ISNUMBER(SEARCH(SUBSTITUTE(UPPER($U265)," ",""),'DM_NoiCongTac'!$C$2:$C$11)),1)),"Không tìm thấy"))</f>
        <v/>
      </c>
      <c r="AF265" s="5">
        <f>IF($V265="","",IFERROR(INDEX('DM_XaPhuong'!$B$2:$B$169,AGGREGATE(15,6,ROW('DM_XaPhuong'!$B$2:$B$169)-ROW('DM_XaPhuong'!$B$2)+1/ISNUMBER(SEARCH(SUBSTITUTE(UPPER($V265)," ",""),'DM_XaPhuong'!$C$2:$C$169)),1)),"Không tìm thấy"))</f>
        <v/>
      </c>
    </row>
    <row r="266">
      <c r="C266" s="5">
        <f>IF($B266="","",IFERROR(INDEX('DM_DoiTuong'!$B$2:$B$19,AGGREGATE(15,6,ROW('DM_DoiTuong'!$B$2:$B$19)-ROW('DM_DoiTuong'!$B$2)+1/ISNUMBER(SEARCH(SUBSTITUTE(UPPER($B266)," ",""),'DM_DoiTuong'!$C$2:$C$19)),1)),"Không tìm thấy"))</f>
        <v/>
      </c>
      <c r="E266" s="5">
        <f>IF($C266="","",IFERROR(INDEX('DM_DiaDiemKham'!$B$2:$B$6,AGGREGATE(15,6,ROW('DM_DiaDiemKham'!$B$2:$B$6)-ROW('DM_DiaDiemKham'!$B$2)+1/ISNUMBER(SEARCH(SUBSTITUTE(UPPER($C266)," ",""),'DM_DiaDiemKham'!$C$2:$C$6)),1)),"Không tìm thấy"))</f>
        <v/>
      </c>
      <c r="G266" s="5">
        <f>IF($D266="","",IFERROR(INDEX('DM_HinhThucChiTra'!$B$2:$B$5,AGGREGATE(15,6,ROW('DM_HinhThucChiTra'!$B$2:$B$5)-ROW('DM_HinhThucChiTra'!$B$2)+1/ISNUMBER(SEARCH(SUBSTITUTE(UPPER($D266)," ",""),'DM_HinhThucChiTra'!$C$2:$C$5)),1)),"Không tìm thấy"))</f>
        <v/>
      </c>
      <c r="I266" s="5">
        <f>IF($E266="","",IFERROR(INDEX('DM_HinhThucKham'!$B$2:$B$3,AGGREGATE(15,6,ROW('DM_HinhThucKham'!$B$2:$B$3)-ROW('DM_HinhThucKham'!$B$2)+1/ISNUMBER(SEARCH(SUBSTITUTE(UPPER($E266)," ",""),'DM_HinhThucKham'!$C$2:$C$3)),1)),"Không tìm thấy"))</f>
        <v/>
      </c>
      <c r="P266" s="5">
        <f>IF($K266="","",IFERROR(INDEX('DM_DanToc'!$B$2:$B$78,AGGREGATE(15,6,ROW('DM_DanToc'!$B$2:$B$78)-ROW('DM_DanToc'!$B$2)+1/ISNUMBER(SEARCH(SUBSTITUTE(UPPER($K266)," ",""),'DM_DanToc'!$C$2:$C$78)),1)),"Không tìm thấy"))</f>
        <v/>
      </c>
      <c r="W266" s="5">
        <f>IF($Q266="","",IFERROR(INDEX('DM_TinhThanh'!$B$2:$B$35,AGGREGATE(15,6,ROW('DM_TinhThanh'!$B$2:$B$35)-ROW('DM_TinhThanh'!$B$2)+1/ISNUMBER(SEARCH(SUBSTITUTE(UPPER($Q266)," ",""),'DM_TinhThanh'!$C$2:$C$35)),1)),"Không tìm thấy"))</f>
        <v/>
      </c>
      <c r="Y266" s="5">
        <f>IF($R266="","",IFERROR(INDEX('DM_XaPhuong'!$B$2:$B$169,AGGREGATE(15,6,ROW('DM_XaPhuong'!$B$2:$B$169)-ROW('DM_XaPhuong'!$B$2)+1/ISNUMBER(SEARCH(SUBSTITUTE(UPPER($R266)," ",""),'DM_XaPhuong'!$C$2:$C$169)),1)),"Không tìm thấy"))</f>
        <v/>
      </c>
      <c r="AB266" s="5">
        <f>IF($T266="","",IFERROR(INDEX('DM_NgheNghiep'!$B$2:$B$11,AGGREGATE(15,6,ROW('DM_NgheNghiep'!$B$2:$B$11)-ROW('DM_NgheNghiep'!$B$2)+1/ISNUMBER(SEARCH(SUBSTITUTE(UPPER($T266)," ",""),'DM_NgheNghiep'!$C$2:$C$11)),1)),"Không tìm thấy"))</f>
        <v/>
      </c>
      <c r="AD266" s="5">
        <f>IF($U266="","",IFERROR(INDEX('DM_NoiCongTac'!$B$2:$B$11,AGGREGATE(15,6,ROW('DM_NoiCongTac'!$B$2:$B$11)-ROW('DM_NoiCongTac'!$B$2)+1/ISNUMBER(SEARCH(SUBSTITUTE(UPPER($U266)," ",""),'DM_NoiCongTac'!$C$2:$C$11)),1)),"Không tìm thấy"))</f>
        <v/>
      </c>
      <c r="AF266" s="5">
        <f>IF($V266="","",IFERROR(INDEX('DM_XaPhuong'!$B$2:$B$169,AGGREGATE(15,6,ROW('DM_XaPhuong'!$B$2:$B$169)-ROW('DM_XaPhuong'!$B$2)+1/ISNUMBER(SEARCH(SUBSTITUTE(UPPER($V266)," ",""),'DM_XaPhuong'!$C$2:$C$169)),1)),"Không tìm thấy"))</f>
        <v/>
      </c>
    </row>
    <row r="267">
      <c r="C267" s="5">
        <f>IF($B267="","",IFERROR(INDEX('DM_DoiTuong'!$B$2:$B$19,AGGREGATE(15,6,ROW('DM_DoiTuong'!$B$2:$B$19)-ROW('DM_DoiTuong'!$B$2)+1/ISNUMBER(SEARCH(SUBSTITUTE(UPPER($B267)," ",""),'DM_DoiTuong'!$C$2:$C$19)),1)),"Không tìm thấy"))</f>
        <v/>
      </c>
      <c r="E267" s="5">
        <f>IF($C267="","",IFERROR(INDEX('DM_DiaDiemKham'!$B$2:$B$6,AGGREGATE(15,6,ROW('DM_DiaDiemKham'!$B$2:$B$6)-ROW('DM_DiaDiemKham'!$B$2)+1/ISNUMBER(SEARCH(SUBSTITUTE(UPPER($C267)," ",""),'DM_DiaDiemKham'!$C$2:$C$6)),1)),"Không tìm thấy"))</f>
        <v/>
      </c>
      <c r="G267" s="5">
        <f>IF($D267="","",IFERROR(INDEX('DM_HinhThucChiTra'!$B$2:$B$5,AGGREGATE(15,6,ROW('DM_HinhThucChiTra'!$B$2:$B$5)-ROW('DM_HinhThucChiTra'!$B$2)+1/ISNUMBER(SEARCH(SUBSTITUTE(UPPER($D267)," ",""),'DM_HinhThucChiTra'!$C$2:$C$5)),1)),"Không tìm thấy"))</f>
        <v/>
      </c>
      <c r="I267" s="5">
        <f>IF($E267="","",IFERROR(INDEX('DM_HinhThucKham'!$B$2:$B$3,AGGREGATE(15,6,ROW('DM_HinhThucKham'!$B$2:$B$3)-ROW('DM_HinhThucKham'!$B$2)+1/ISNUMBER(SEARCH(SUBSTITUTE(UPPER($E267)," ",""),'DM_HinhThucKham'!$C$2:$C$3)),1)),"Không tìm thấy"))</f>
        <v/>
      </c>
      <c r="P267" s="5">
        <f>IF($K267="","",IFERROR(INDEX('DM_DanToc'!$B$2:$B$78,AGGREGATE(15,6,ROW('DM_DanToc'!$B$2:$B$78)-ROW('DM_DanToc'!$B$2)+1/ISNUMBER(SEARCH(SUBSTITUTE(UPPER($K267)," ",""),'DM_DanToc'!$C$2:$C$78)),1)),"Không tìm thấy"))</f>
        <v/>
      </c>
      <c r="W267" s="5">
        <f>IF($Q267="","",IFERROR(INDEX('DM_TinhThanh'!$B$2:$B$35,AGGREGATE(15,6,ROW('DM_TinhThanh'!$B$2:$B$35)-ROW('DM_TinhThanh'!$B$2)+1/ISNUMBER(SEARCH(SUBSTITUTE(UPPER($Q267)," ",""),'DM_TinhThanh'!$C$2:$C$35)),1)),"Không tìm thấy"))</f>
        <v/>
      </c>
      <c r="Y267" s="5">
        <f>IF($R267="","",IFERROR(INDEX('DM_XaPhuong'!$B$2:$B$169,AGGREGATE(15,6,ROW('DM_XaPhuong'!$B$2:$B$169)-ROW('DM_XaPhuong'!$B$2)+1/ISNUMBER(SEARCH(SUBSTITUTE(UPPER($R267)," ",""),'DM_XaPhuong'!$C$2:$C$169)),1)),"Không tìm thấy"))</f>
        <v/>
      </c>
      <c r="AB267" s="5">
        <f>IF($T267="","",IFERROR(INDEX('DM_NgheNghiep'!$B$2:$B$11,AGGREGATE(15,6,ROW('DM_NgheNghiep'!$B$2:$B$11)-ROW('DM_NgheNghiep'!$B$2)+1/ISNUMBER(SEARCH(SUBSTITUTE(UPPER($T267)," ",""),'DM_NgheNghiep'!$C$2:$C$11)),1)),"Không tìm thấy"))</f>
        <v/>
      </c>
      <c r="AD267" s="5">
        <f>IF($U267="","",IFERROR(INDEX('DM_NoiCongTac'!$B$2:$B$11,AGGREGATE(15,6,ROW('DM_NoiCongTac'!$B$2:$B$11)-ROW('DM_NoiCongTac'!$B$2)+1/ISNUMBER(SEARCH(SUBSTITUTE(UPPER($U267)," ",""),'DM_NoiCongTac'!$C$2:$C$11)),1)),"Không tìm thấy"))</f>
        <v/>
      </c>
      <c r="AF267" s="5">
        <f>IF($V267="","",IFERROR(INDEX('DM_XaPhuong'!$B$2:$B$169,AGGREGATE(15,6,ROW('DM_XaPhuong'!$B$2:$B$169)-ROW('DM_XaPhuong'!$B$2)+1/ISNUMBER(SEARCH(SUBSTITUTE(UPPER($V267)," ",""),'DM_XaPhuong'!$C$2:$C$169)),1)),"Không tìm thấy"))</f>
        <v/>
      </c>
    </row>
    <row r="268">
      <c r="C268" s="5">
        <f>IF($B268="","",IFERROR(INDEX('DM_DoiTuong'!$B$2:$B$19,AGGREGATE(15,6,ROW('DM_DoiTuong'!$B$2:$B$19)-ROW('DM_DoiTuong'!$B$2)+1/ISNUMBER(SEARCH(SUBSTITUTE(UPPER($B268)," ",""),'DM_DoiTuong'!$C$2:$C$19)),1)),"Không tìm thấy"))</f>
        <v/>
      </c>
      <c r="E268" s="5">
        <f>IF($C268="","",IFERROR(INDEX('DM_DiaDiemKham'!$B$2:$B$6,AGGREGATE(15,6,ROW('DM_DiaDiemKham'!$B$2:$B$6)-ROW('DM_DiaDiemKham'!$B$2)+1/ISNUMBER(SEARCH(SUBSTITUTE(UPPER($C268)," ",""),'DM_DiaDiemKham'!$C$2:$C$6)),1)),"Không tìm thấy"))</f>
        <v/>
      </c>
      <c r="G268" s="5">
        <f>IF($D268="","",IFERROR(INDEX('DM_HinhThucChiTra'!$B$2:$B$5,AGGREGATE(15,6,ROW('DM_HinhThucChiTra'!$B$2:$B$5)-ROW('DM_HinhThucChiTra'!$B$2)+1/ISNUMBER(SEARCH(SUBSTITUTE(UPPER($D268)," ",""),'DM_HinhThucChiTra'!$C$2:$C$5)),1)),"Không tìm thấy"))</f>
        <v/>
      </c>
      <c r="I268" s="5">
        <f>IF($E268="","",IFERROR(INDEX('DM_HinhThucKham'!$B$2:$B$3,AGGREGATE(15,6,ROW('DM_HinhThucKham'!$B$2:$B$3)-ROW('DM_HinhThucKham'!$B$2)+1/ISNUMBER(SEARCH(SUBSTITUTE(UPPER($E268)," ",""),'DM_HinhThucKham'!$C$2:$C$3)),1)),"Không tìm thấy"))</f>
        <v/>
      </c>
      <c r="P268" s="5">
        <f>IF($K268="","",IFERROR(INDEX('DM_DanToc'!$B$2:$B$78,AGGREGATE(15,6,ROW('DM_DanToc'!$B$2:$B$78)-ROW('DM_DanToc'!$B$2)+1/ISNUMBER(SEARCH(SUBSTITUTE(UPPER($K268)," ",""),'DM_DanToc'!$C$2:$C$78)),1)),"Không tìm thấy"))</f>
        <v/>
      </c>
      <c r="W268" s="5">
        <f>IF($Q268="","",IFERROR(INDEX('DM_TinhThanh'!$B$2:$B$35,AGGREGATE(15,6,ROW('DM_TinhThanh'!$B$2:$B$35)-ROW('DM_TinhThanh'!$B$2)+1/ISNUMBER(SEARCH(SUBSTITUTE(UPPER($Q268)," ",""),'DM_TinhThanh'!$C$2:$C$35)),1)),"Không tìm thấy"))</f>
        <v/>
      </c>
      <c r="Y268" s="5">
        <f>IF($R268="","",IFERROR(INDEX('DM_XaPhuong'!$B$2:$B$169,AGGREGATE(15,6,ROW('DM_XaPhuong'!$B$2:$B$169)-ROW('DM_XaPhuong'!$B$2)+1/ISNUMBER(SEARCH(SUBSTITUTE(UPPER($R268)," ",""),'DM_XaPhuong'!$C$2:$C$169)),1)),"Không tìm thấy"))</f>
        <v/>
      </c>
      <c r="AB268" s="5">
        <f>IF($T268="","",IFERROR(INDEX('DM_NgheNghiep'!$B$2:$B$11,AGGREGATE(15,6,ROW('DM_NgheNghiep'!$B$2:$B$11)-ROW('DM_NgheNghiep'!$B$2)+1/ISNUMBER(SEARCH(SUBSTITUTE(UPPER($T268)," ",""),'DM_NgheNghiep'!$C$2:$C$11)),1)),"Không tìm thấy"))</f>
        <v/>
      </c>
      <c r="AD268" s="5">
        <f>IF($U268="","",IFERROR(INDEX('DM_NoiCongTac'!$B$2:$B$11,AGGREGATE(15,6,ROW('DM_NoiCongTac'!$B$2:$B$11)-ROW('DM_NoiCongTac'!$B$2)+1/ISNUMBER(SEARCH(SUBSTITUTE(UPPER($U268)," ",""),'DM_NoiCongTac'!$C$2:$C$11)),1)),"Không tìm thấy"))</f>
        <v/>
      </c>
      <c r="AF268" s="5">
        <f>IF($V268="","",IFERROR(INDEX('DM_XaPhuong'!$B$2:$B$169,AGGREGATE(15,6,ROW('DM_XaPhuong'!$B$2:$B$169)-ROW('DM_XaPhuong'!$B$2)+1/ISNUMBER(SEARCH(SUBSTITUTE(UPPER($V268)," ",""),'DM_XaPhuong'!$C$2:$C$169)),1)),"Không tìm thấy"))</f>
        <v/>
      </c>
    </row>
    <row r="269">
      <c r="C269" s="5">
        <f>IF($B269="","",IFERROR(INDEX('DM_DoiTuong'!$B$2:$B$19,AGGREGATE(15,6,ROW('DM_DoiTuong'!$B$2:$B$19)-ROW('DM_DoiTuong'!$B$2)+1/ISNUMBER(SEARCH(SUBSTITUTE(UPPER($B269)," ",""),'DM_DoiTuong'!$C$2:$C$19)),1)),"Không tìm thấy"))</f>
        <v/>
      </c>
      <c r="E269" s="5">
        <f>IF($C269="","",IFERROR(INDEX('DM_DiaDiemKham'!$B$2:$B$6,AGGREGATE(15,6,ROW('DM_DiaDiemKham'!$B$2:$B$6)-ROW('DM_DiaDiemKham'!$B$2)+1/ISNUMBER(SEARCH(SUBSTITUTE(UPPER($C269)," ",""),'DM_DiaDiemKham'!$C$2:$C$6)),1)),"Không tìm thấy"))</f>
        <v/>
      </c>
      <c r="G269" s="5">
        <f>IF($D269="","",IFERROR(INDEX('DM_HinhThucChiTra'!$B$2:$B$5,AGGREGATE(15,6,ROW('DM_HinhThucChiTra'!$B$2:$B$5)-ROW('DM_HinhThucChiTra'!$B$2)+1/ISNUMBER(SEARCH(SUBSTITUTE(UPPER($D269)," ",""),'DM_HinhThucChiTra'!$C$2:$C$5)),1)),"Không tìm thấy"))</f>
        <v/>
      </c>
      <c r="I269" s="5">
        <f>IF($E269="","",IFERROR(INDEX('DM_HinhThucKham'!$B$2:$B$3,AGGREGATE(15,6,ROW('DM_HinhThucKham'!$B$2:$B$3)-ROW('DM_HinhThucKham'!$B$2)+1/ISNUMBER(SEARCH(SUBSTITUTE(UPPER($E269)," ",""),'DM_HinhThucKham'!$C$2:$C$3)),1)),"Không tìm thấy"))</f>
        <v/>
      </c>
      <c r="P269" s="5">
        <f>IF($K269="","",IFERROR(INDEX('DM_DanToc'!$B$2:$B$78,AGGREGATE(15,6,ROW('DM_DanToc'!$B$2:$B$78)-ROW('DM_DanToc'!$B$2)+1/ISNUMBER(SEARCH(SUBSTITUTE(UPPER($K269)," ",""),'DM_DanToc'!$C$2:$C$78)),1)),"Không tìm thấy"))</f>
        <v/>
      </c>
      <c r="W269" s="5">
        <f>IF($Q269="","",IFERROR(INDEX('DM_TinhThanh'!$B$2:$B$35,AGGREGATE(15,6,ROW('DM_TinhThanh'!$B$2:$B$35)-ROW('DM_TinhThanh'!$B$2)+1/ISNUMBER(SEARCH(SUBSTITUTE(UPPER($Q269)," ",""),'DM_TinhThanh'!$C$2:$C$35)),1)),"Không tìm thấy"))</f>
        <v/>
      </c>
      <c r="Y269" s="5">
        <f>IF($R269="","",IFERROR(INDEX('DM_XaPhuong'!$B$2:$B$169,AGGREGATE(15,6,ROW('DM_XaPhuong'!$B$2:$B$169)-ROW('DM_XaPhuong'!$B$2)+1/ISNUMBER(SEARCH(SUBSTITUTE(UPPER($R269)," ",""),'DM_XaPhuong'!$C$2:$C$169)),1)),"Không tìm thấy"))</f>
        <v/>
      </c>
      <c r="AB269" s="5">
        <f>IF($T269="","",IFERROR(INDEX('DM_NgheNghiep'!$B$2:$B$11,AGGREGATE(15,6,ROW('DM_NgheNghiep'!$B$2:$B$11)-ROW('DM_NgheNghiep'!$B$2)+1/ISNUMBER(SEARCH(SUBSTITUTE(UPPER($T269)," ",""),'DM_NgheNghiep'!$C$2:$C$11)),1)),"Không tìm thấy"))</f>
        <v/>
      </c>
      <c r="AD269" s="5">
        <f>IF($U269="","",IFERROR(INDEX('DM_NoiCongTac'!$B$2:$B$11,AGGREGATE(15,6,ROW('DM_NoiCongTac'!$B$2:$B$11)-ROW('DM_NoiCongTac'!$B$2)+1/ISNUMBER(SEARCH(SUBSTITUTE(UPPER($U269)," ",""),'DM_NoiCongTac'!$C$2:$C$11)),1)),"Không tìm thấy"))</f>
        <v/>
      </c>
      <c r="AF269" s="5">
        <f>IF($V269="","",IFERROR(INDEX('DM_XaPhuong'!$B$2:$B$169,AGGREGATE(15,6,ROW('DM_XaPhuong'!$B$2:$B$169)-ROW('DM_XaPhuong'!$B$2)+1/ISNUMBER(SEARCH(SUBSTITUTE(UPPER($V269)," ",""),'DM_XaPhuong'!$C$2:$C$169)),1)),"Không tìm thấy"))</f>
        <v/>
      </c>
    </row>
    <row r="270">
      <c r="C270" s="5">
        <f>IF($B270="","",IFERROR(INDEX('DM_DoiTuong'!$B$2:$B$19,AGGREGATE(15,6,ROW('DM_DoiTuong'!$B$2:$B$19)-ROW('DM_DoiTuong'!$B$2)+1/ISNUMBER(SEARCH(SUBSTITUTE(UPPER($B270)," ",""),'DM_DoiTuong'!$C$2:$C$19)),1)),"Không tìm thấy"))</f>
        <v/>
      </c>
      <c r="E270" s="5">
        <f>IF($C270="","",IFERROR(INDEX('DM_DiaDiemKham'!$B$2:$B$6,AGGREGATE(15,6,ROW('DM_DiaDiemKham'!$B$2:$B$6)-ROW('DM_DiaDiemKham'!$B$2)+1/ISNUMBER(SEARCH(SUBSTITUTE(UPPER($C270)," ",""),'DM_DiaDiemKham'!$C$2:$C$6)),1)),"Không tìm thấy"))</f>
        <v/>
      </c>
      <c r="G270" s="5">
        <f>IF($D270="","",IFERROR(INDEX('DM_HinhThucChiTra'!$B$2:$B$5,AGGREGATE(15,6,ROW('DM_HinhThucChiTra'!$B$2:$B$5)-ROW('DM_HinhThucChiTra'!$B$2)+1/ISNUMBER(SEARCH(SUBSTITUTE(UPPER($D270)," ",""),'DM_HinhThucChiTra'!$C$2:$C$5)),1)),"Không tìm thấy"))</f>
        <v/>
      </c>
      <c r="I270" s="5">
        <f>IF($E270="","",IFERROR(INDEX('DM_HinhThucKham'!$B$2:$B$3,AGGREGATE(15,6,ROW('DM_HinhThucKham'!$B$2:$B$3)-ROW('DM_HinhThucKham'!$B$2)+1/ISNUMBER(SEARCH(SUBSTITUTE(UPPER($E270)," ",""),'DM_HinhThucKham'!$C$2:$C$3)),1)),"Không tìm thấy"))</f>
        <v/>
      </c>
      <c r="P270" s="5">
        <f>IF($K270="","",IFERROR(INDEX('DM_DanToc'!$B$2:$B$78,AGGREGATE(15,6,ROW('DM_DanToc'!$B$2:$B$78)-ROW('DM_DanToc'!$B$2)+1/ISNUMBER(SEARCH(SUBSTITUTE(UPPER($K270)," ",""),'DM_DanToc'!$C$2:$C$78)),1)),"Không tìm thấy"))</f>
        <v/>
      </c>
      <c r="W270" s="5">
        <f>IF($Q270="","",IFERROR(INDEX('DM_TinhThanh'!$B$2:$B$35,AGGREGATE(15,6,ROW('DM_TinhThanh'!$B$2:$B$35)-ROW('DM_TinhThanh'!$B$2)+1/ISNUMBER(SEARCH(SUBSTITUTE(UPPER($Q270)," ",""),'DM_TinhThanh'!$C$2:$C$35)),1)),"Không tìm thấy"))</f>
        <v/>
      </c>
      <c r="Y270" s="5">
        <f>IF($R270="","",IFERROR(INDEX('DM_XaPhuong'!$B$2:$B$169,AGGREGATE(15,6,ROW('DM_XaPhuong'!$B$2:$B$169)-ROW('DM_XaPhuong'!$B$2)+1/ISNUMBER(SEARCH(SUBSTITUTE(UPPER($R270)," ",""),'DM_XaPhuong'!$C$2:$C$169)),1)),"Không tìm thấy"))</f>
        <v/>
      </c>
      <c r="AB270" s="5">
        <f>IF($T270="","",IFERROR(INDEX('DM_NgheNghiep'!$B$2:$B$11,AGGREGATE(15,6,ROW('DM_NgheNghiep'!$B$2:$B$11)-ROW('DM_NgheNghiep'!$B$2)+1/ISNUMBER(SEARCH(SUBSTITUTE(UPPER($T270)," ",""),'DM_NgheNghiep'!$C$2:$C$11)),1)),"Không tìm thấy"))</f>
        <v/>
      </c>
      <c r="AD270" s="5">
        <f>IF($U270="","",IFERROR(INDEX('DM_NoiCongTac'!$B$2:$B$11,AGGREGATE(15,6,ROW('DM_NoiCongTac'!$B$2:$B$11)-ROW('DM_NoiCongTac'!$B$2)+1/ISNUMBER(SEARCH(SUBSTITUTE(UPPER($U270)," ",""),'DM_NoiCongTac'!$C$2:$C$11)),1)),"Không tìm thấy"))</f>
        <v/>
      </c>
      <c r="AF270" s="5">
        <f>IF($V270="","",IFERROR(INDEX('DM_XaPhuong'!$B$2:$B$169,AGGREGATE(15,6,ROW('DM_XaPhuong'!$B$2:$B$169)-ROW('DM_XaPhuong'!$B$2)+1/ISNUMBER(SEARCH(SUBSTITUTE(UPPER($V270)," ",""),'DM_XaPhuong'!$C$2:$C$169)),1)),"Không tìm thấy"))</f>
        <v/>
      </c>
    </row>
    <row r="271">
      <c r="C271" s="5">
        <f>IF($B271="","",IFERROR(INDEX('DM_DoiTuong'!$B$2:$B$19,AGGREGATE(15,6,ROW('DM_DoiTuong'!$B$2:$B$19)-ROW('DM_DoiTuong'!$B$2)+1/ISNUMBER(SEARCH(SUBSTITUTE(UPPER($B271)," ",""),'DM_DoiTuong'!$C$2:$C$19)),1)),"Không tìm thấy"))</f>
        <v/>
      </c>
      <c r="E271" s="5">
        <f>IF($C271="","",IFERROR(INDEX('DM_DiaDiemKham'!$B$2:$B$6,AGGREGATE(15,6,ROW('DM_DiaDiemKham'!$B$2:$B$6)-ROW('DM_DiaDiemKham'!$B$2)+1/ISNUMBER(SEARCH(SUBSTITUTE(UPPER($C271)," ",""),'DM_DiaDiemKham'!$C$2:$C$6)),1)),"Không tìm thấy"))</f>
        <v/>
      </c>
      <c r="G271" s="5">
        <f>IF($D271="","",IFERROR(INDEX('DM_HinhThucChiTra'!$B$2:$B$5,AGGREGATE(15,6,ROW('DM_HinhThucChiTra'!$B$2:$B$5)-ROW('DM_HinhThucChiTra'!$B$2)+1/ISNUMBER(SEARCH(SUBSTITUTE(UPPER($D271)," ",""),'DM_HinhThucChiTra'!$C$2:$C$5)),1)),"Không tìm thấy"))</f>
        <v/>
      </c>
      <c r="I271" s="5">
        <f>IF($E271="","",IFERROR(INDEX('DM_HinhThucKham'!$B$2:$B$3,AGGREGATE(15,6,ROW('DM_HinhThucKham'!$B$2:$B$3)-ROW('DM_HinhThucKham'!$B$2)+1/ISNUMBER(SEARCH(SUBSTITUTE(UPPER($E271)," ",""),'DM_HinhThucKham'!$C$2:$C$3)),1)),"Không tìm thấy"))</f>
        <v/>
      </c>
      <c r="P271" s="5">
        <f>IF($K271="","",IFERROR(INDEX('DM_DanToc'!$B$2:$B$78,AGGREGATE(15,6,ROW('DM_DanToc'!$B$2:$B$78)-ROW('DM_DanToc'!$B$2)+1/ISNUMBER(SEARCH(SUBSTITUTE(UPPER($K271)," ",""),'DM_DanToc'!$C$2:$C$78)),1)),"Không tìm thấy"))</f>
        <v/>
      </c>
      <c r="W271" s="5">
        <f>IF($Q271="","",IFERROR(INDEX('DM_TinhThanh'!$B$2:$B$35,AGGREGATE(15,6,ROW('DM_TinhThanh'!$B$2:$B$35)-ROW('DM_TinhThanh'!$B$2)+1/ISNUMBER(SEARCH(SUBSTITUTE(UPPER($Q271)," ",""),'DM_TinhThanh'!$C$2:$C$35)),1)),"Không tìm thấy"))</f>
        <v/>
      </c>
      <c r="Y271" s="5">
        <f>IF($R271="","",IFERROR(INDEX('DM_XaPhuong'!$B$2:$B$169,AGGREGATE(15,6,ROW('DM_XaPhuong'!$B$2:$B$169)-ROW('DM_XaPhuong'!$B$2)+1/ISNUMBER(SEARCH(SUBSTITUTE(UPPER($R271)," ",""),'DM_XaPhuong'!$C$2:$C$169)),1)),"Không tìm thấy"))</f>
        <v/>
      </c>
      <c r="AB271" s="5">
        <f>IF($T271="","",IFERROR(INDEX('DM_NgheNghiep'!$B$2:$B$11,AGGREGATE(15,6,ROW('DM_NgheNghiep'!$B$2:$B$11)-ROW('DM_NgheNghiep'!$B$2)+1/ISNUMBER(SEARCH(SUBSTITUTE(UPPER($T271)," ",""),'DM_NgheNghiep'!$C$2:$C$11)),1)),"Không tìm thấy"))</f>
        <v/>
      </c>
      <c r="AD271" s="5">
        <f>IF($U271="","",IFERROR(INDEX('DM_NoiCongTac'!$B$2:$B$11,AGGREGATE(15,6,ROW('DM_NoiCongTac'!$B$2:$B$11)-ROW('DM_NoiCongTac'!$B$2)+1/ISNUMBER(SEARCH(SUBSTITUTE(UPPER($U271)," ",""),'DM_NoiCongTac'!$C$2:$C$11)),1)),"Không tìm thấy"))</f>
        <v/>
      </c>
      <c r="AF271" s="5">
        <f>IF($V271="","",IFERROR(INDEX('DM_XaPhuong'!$B$2:$B$169,AGGREGATE(15,6,ROW('DM_XaPhuong'!$B$2:$B$169)-ROW('DM_XaPhuong'!$B$2)+1/ISNUMBER(SEARCH(SUBSTITUTE(UPPER($V271)," ",""),'DM_XaPhuong'!$C$2:$C$169)),1)),"Không tìm thấy"))</f>
        <v/>
      </c>
    </row>
    <row r="272">
      <c r="C272" s="5">
        <f>IF($B272="","",IFERROR(INDEX('DM_DoiTuong'!$B$2:$B$19,AGGREGATE(15,6,ROW('DM_DoiTuong'!$B$2:$B$19)-ROW('DM_DoiTuong'!$B$2)+1/ISNUMBER(SEARCH(SUBSTITUTE(UPPER($B272)," ",""),'DM_DoiTuong'!$C$2:$C$19)),1)),"Không tìm thấy"))</f>
        <v/>
      </c>
      <c r="E272" s="5">
        <f>IF($C272="","",IFERROR(INDEX('DM_DiaDiemKham'!$B$2:$B$6,AGGREGATE(15,6,ROW('DM_DiaDiemKham'!$B$2:$B$6)-ROW('DM_DiaDiemKham'!$B$2)+1/ISNUMBER(SEARCH(SUBSTITUTE(UPPER($C272)," ",""),'DM_DiaDiemKham'!$C$2:$C$6)),1)),"Không tìm thấy"))</f>
        <v/>
      </c>
      <c r="G272" s="5">
        <f>IF($D272="","",IFERROR(INDEX('DM_HinhThucChiTra'!$B$2:$B$5,AGGREGATE(15,6,ROW('DM_HinhThucChiTra'!$B$2:$B$5)-ROW('DM_HinhThucChiTra'!$B$2)+1/ISNUMBER(SEARCH(SUBSTITUTE(UPPER($D272)," ",""),'DM_HinhThucChiTra'!$C$2:$C$5)),1)),"Không tìm thấy"))</f>
        <v/>
      </c>
      <c r="I272" s="5">
        <f>IF($E272="","",IFERROR(INDEX('DM_HinhThucKham'!$B$2:$B$3,AGGREGATE(15,6,ROW('DM_HinhThucKham'!$B$2:$B$3)-ROW('DM_HinhThucKham'!$B$2)+1/ISNUMBER(SEARCH(SUBSTITUTE(UPPER($E272)," ",""),'DM_HinhThucKham'!$C$2:$C$3)),1)),"Không tìm thấy"))</f>
        <v/>
      </c>
      <c r="P272" s="5">
        <f>IF($K272="","",IFERROR(INDEX('DM_DanToc'!$B$2:$B$78,AGGREGATE(15,6,ROW('DM_DanToc'!$B$2:$B$78)-ROW('DM_DanToc'!$B$2)+1/ISNUMBER(SEARCH(SUBSTITUTE(UPPER($K272)," ",""),'DM_DanToc'!$C$2:$C$78)),1)),"Không tìm thấy"))</f>
        <v/>
      </c>
      <c r="W272" s="5">
        <f>IF($Q272="","",IFERROR(INDEX('DM_TinhThanh'!$B$2:$B$35,AGGREGATE(15,6,ROW('DM_TinhThanh'!$B$2:$B$35)-ROW('DM_TinhThanh'!$B$2)+1/ISNUMBER(SEARCH(SUBSTITUTE(UPPER($Q272)," ",""),'DM_TinhThanh'!$C$2:$C$35)),1)),"Không tìm thấy"))</f>
        <v/>
      </c>
      <c r="Y272" s="5">
        <f>IF($R272="","",IFERROR(INDEX('DM_XaPhuong'!$B$2:$B$169,AGGREGATE(15,6,ROW('DM_XaPhuong'!$B$2:$B$169)-ROW('DM_XaPhuong'!$B$2)+1/ISNUMBER(SEARCH(SUBSTITUTE(UPPER($R272)," ",""),'DM_XaPhuong'!$C$2:$C$169)),1)),"Không tìm thấy"))</f>
        <v/>
      </c>
      <c r="AB272" s="5">
        <f>IF($T272="","",IFERROR(INDEX('DM_NgheNghiep'!$B$2:$B$11,AGGREGATE(15,6,ROW('DM_NgheNghiep'!$B$2:$B$11)-ROW('DM_NgheNghiep'!$B$2)+1/ISNUMBER(SEARCH(SUBSTITUTE(UPPER($T272)," ",""),'DM_NgheNghiep'!$C$2:$C$11)),1)),"Không tìm thấy"))</f>
        <v/>
      </c>
      <c r="AD272" s="5">
        <f>IF($U272="","",IFERROR(INDEX('DM_NoiCongTac'!$B$2:$B$11,AGGREGATE(15,6,ROW('DM_NoiCongTac'!$B$2:$B$11)-ROW('DM_NoiCongTac'!$B$2)+1/ISNUMBER(SEARCH(SUBSTITUTE(UPPER($U272)," ",""),'DM_NoiCongTac'!$C$2:$C$11)),1)),"Không tìm thấy"))</f>
        <v/>
      </c>
      <c r="AF272" s="5">
        <f>IF($V272="","",IFERROR(INDEX('DM_XaPhuong'!$B$2:$B$169,AGGREGATE(15,6,ROW('DM_XaPhuong'!$B$2:$B$169)-ROW('DM_XaPhuong'!$B$2)+1/ISNUMBER(SEARCH(SUBSTITUTE(UPPER($V272)," ",""),'DM_XaPhuong'!$C$2:$C$169)),1)),"Không tìm thấy"))</f>
        <v/>
      </c>
    </row>
    <row r="273">
      <c r="C273" s="5">
        <f>IF($B273="","",IFERROR(INDEX('DM_DoiTuong'!$B$2:$B$19,AGGREGATE(15,6,ROW('DM_DoiTuong'!$B$2:$B$19)-ROW('DM_DoiTuong'!$B$2)+1/ISNUMBER(SEARCH(SUBSTITUTE(UPPER($B273)," ",""),'DM_DoiTuong'!$C$2:$C$19)),1)),"Không tìm thấy"))</f>
        <v/>
      </c>
      <c r="E273" s="5">
        <f>IF($C273="","",IFERROR(INDEX('DM_DiaDiemKham'!$B$2:$B$6,AGGREGATE(15,6,ROW('DM_DiaDiemKham'!$B$2:$B$6)-ROW('DM_DiaDiemKham'!$B$2)+1/ISNUMBER(SEARCH(SUBSTITUTE(UPPER($C273)," ",""),'DM_DiaDiemKham'!$C$2:$C$6)),1)),"Không tìm thấy"))</f>
        <v/>
      </c>
      <c r="G273" s="5">
        <f>IF($D273="","",IFERROR(INDEX('DM_HinhThucChiTra'!$B$2:$B$5,AGGREGATE(15,6,ROW('DM_HinhThucChiTra'!$B$2:$B$5)-ROW('DM_HinhThucChiTra'!$B$2)+1/ISNUMBER(SEARCH(SUBSTITUTE(UPPER($D273)," ",""),'DM_HinhThucChiTra'!$C$2:$C$5)),1)),"Không tìm thấy"))</f>
        <v/>
      </c>
      <c r="I273" s="5">
        <f>IF($E273="","",IFERROR(INDEX('DM_HinhThucKham'!$B$2:$B$3,AGGREGATE(15,6,ROW('DM_HinhThucKham'!$B$2:$B$3)-ROW('DM_HinhThucKham'!$B$2)+1/ISNUMBER(SEARCH(SUBSTITUTE(UPPER($E273)," ",""),'DM_HinhThucKham'!$C$2:$C$3)),1)),"Không tìm thấy"))</f>
        <v/>
      </c>
      <c r="P273" s="5">
        <f>IF($K273="","",IFERROR(INDEX('DM_DanToc'!$B$2:$B$78,AGGREGATE(15,6,ROW('DM_DanToc'!$B$2:$B$78)-ROW('DM_DanToc'!$B$2)+1/ISNUMBER(SEARCH(SUBSTITUTE(UPPER($K273)," ",""),'DM_DanToc'!$C$2:$C$78)),1)),"Không tìm thấy"))</f>
        <v/>
      </c>
      <c r="W273" s="5">
        <f>IF($Q273="","",IFERROR(INDEX('DM_TinhThanh'!$B$2:$B$35,AGGREGATE(15,6,ROW('DM_TinhThanh'!$B$2:$B$35)-ROW('DM_TinhThanh'!$B$2)+1/ISNUMBER(SEARCH(SUBSTITUTE(UPPER($Q273)," ",""),'DM_TinhThanh'!$C$2:$C$35)),1)),"Không tìm thấy"))</f>
        <v/>
      </c>
      <c r="Y273" s="5">
        <f>IF($R273="","",IFERROR(INDEX('DM_XaPhuong'!$B$2:$B$169,AGGREGATE(15,6,ROW('DM_XaPhuong'!$B$2:$B$169)-ROW('DM_XaPhuong'!$B$2)+1/ISNUMBER(SEARCH(SUBSTITUTE(UPPER($R273)," ",""),'DM_XaPhuong'!$C$2:$C$169)),1)),"Không tìm thấy"))</f>
        <v/>
      </c>
      <c r="AB273" s="5">
        <f>IF($T273="","",IFERROR(INDEX('DM_NgheNghiep'!$B$2:$B$11,AGGREGATE(15,6,ROW('DM_NgheNghiep'!$B$2:$B$11)-ROW('DM_NgheNghiep'!$B$2)+1/ISNUMBER(SEARCH(SUBSTITUTE(UPPER($T273)," ",""),'DM_NgheNghiep'!$C$2:$C$11)),1)),"Không tìm thấy"))</f>
        <v/>
      </c>
      <c r="AD273" s="5">
        <f>IF($U273="","",IFERROR(INDEX('DM_NoiCongTac'!$B$2:$B$11,AGGREGATE(15,6,ROW('DM_NoiCongTac'!$B$2:$B$11)-ROW('DM_NoiCongTac'!$B$2)+1/ISNUMBER(SEARCH(SUBSTITUTE(UPPER($U273)," ",""),'DM_NoiCongTac'!$C$2:$C$11)),1)),"Không tìm thấy"))</f>
        <v/>
      </c>
      <c r="AF273" s="5">
        <f>IF($V273="","",IFERROR(INDEX('DM_XaPhuong'!$B$2:$B$169,AGGREGATE(15,6,ROW('DM_XaPhuong'!$B$2:$B$169)-ROW('DM_XaPhuong'!$B$2)+1/ISNUMBER(SEARCH(SUBSTITUTE(UPPER($V273)," ",""),'DM_XaPhuong'!$C$2:$C$169)),1)),"Không tìm thấy"))</f>
        <v/>
      </c>
    </row>
    <row r="274">
      <c r="C274" s="5">
        <f>IF($B274="","",IFERROR(INDEX('DM_DoiTuong'!$B$2:$B$19,AGGREGATE(15,6,ROW('DM_DoiTuong'!$B$2:$B$19)-ROW('DM_DoiTuong'!$B$2)+1/ISNUMBER(SEARCH(SUBSTITUTE(UPPER($B274)," ",""),'DM_DoiTuong'!$C$2:$C$19)),1)),"Không tìm thấy"))</f>
        <v/>
      </c>
      <c r="E274" s="5">
        <f>IF($C274="","",IFERROR(INDEX('DM_DiaDiemKham'!$B$2:$B$6,AGGREGATE(15,6,ROW('DM_DiaDiemKham'!$B$2:$B$6)-ROW('DM_DiaDiemKham'!$B$2)+1/ISNUMBER(SEARCH(SUBSTITUTE(UPPER($C274)," ",""),'DM_DiaDiemKham'!$C$2:$C$6)),1)),"Không tìm thấy"))</f>
        <v/>
      </c>
      <c r="G274" s="5">
        <f>IF($D274="","",IFERROR(INDEX('DM_HinhThucChiTra'!$B$2:$B$5,AGGREGATE(15,6,ROW('DM_HinhThucChiTra'!$B$2:$B$5)-ROW('DM_HinhThucChiTra'!$B$2)+1/ISNUMBER(SEARCH(SUBSTITUTE(UPPER($D274)," ",""),'DM_HinhThucChiTra'!$C$2:$C$5)),1)),"Không tìm thấy"))</f>
        <v/>
      </c>
      <c r="I274" s="5">
        <f>IF($E274="","",IFERROR(INDEX('DM_HinhThucKham'!$B$2:$B$3,AGGREGATE(15,6,ROW('DM_HinhThucKham'!$B$2:$B$3)-ROW('DM_HinhThucKham'!$B$2)+1/ISNUMBER(SEARCH(SUBSTITUTE(UPPER($E274)," ",""),'DM_HinhThucKham'!$C$2:$C$3)),1)),"Không tìm thấy"))</f>
        <v/>
      </c>
      <c r="P274" s="5">
        <f>IF($K274="","",IFERROR(INDEX('DM_DanToc'!$B$2:$B$78,AGGREGATE(15,6,ROW('DM_DanToc'!$B$2:$B$78)-ROW('DM_DanToc'!$B$2)+1/ISNUMBER(SEARCH(SUBSTITUTE(UPPER($K274)," ",""),'DM_DanToc'!$C$2:$C$78)),1)),"Không tìm thấy"))</f>
        <v/>
      </c>
      <c r="W274" s="5">
        <f>IF($Q274="","",IFERROR(INDEX('DM_TinhThanh'!$B$2:$B$35,AGGREGATE(15,6,ROW('DM_TinhThanh'!$B$2:$B$35)-ROW('DM_TinhThanh'!$B$2)+1/ISNUMBER(SEARCH(SUBSTITUTE(UPPER($Q274)," ",""),'DM_TinhThanh'!$C$2:$C$35)),1)),"Không tìm thấy"))</f>
        <v/>
      </c>
      <c r="Y274" s="5">
        <f>IF($R274="","",IFERROR(INDEX('DM_XaPhuong'!$B$2:$B$169,AGGREGATE(15,6,ROW('DM_XaPhuong'!$B$2:$B$169)-ROW('DM_XaPhuong'!$B$2)+1/ISNUMBER(SEARCH(SUBSTITUTE(UPPER($R274)," ",""),'DM_XaPhuong'!$C$2:$C$169)),1)),"Không tìm thấy"))</f>
        <v/>
      </c>
      <c r="AB274" s="5">
        <f>IF($T274="","",IFERROR(INDEX('DM_NgheNghiep'!$B$2:$B$11,AGGREGATE(15,6,ROW('DM_NgheNghiep'!$B$2:$B$11)-ROW('DM_NgheNghiep'!$B$2)+1/ISNUMBER(SEARCH(SUBSTITUTE(UPPER($T274)," ",""),'DM_NgheNghiep'!$C$2:$C$11)),1)),"Không tìm thấy"))</f>
        <v/>
      </c>
      <c r="AD274" s="5">
        <f>IF($U274="","",IFERROR(INDEX('DM_NoiCongTac'!$B$2:$B$11,AGGREGATE(15,6,ROW('DM_NoiCongTac'!$B$2:$B$11)-ROW('DM_NoiCongTac'!$B$2)+1/ISNUMBER(SEARCH(SUBSTITUTE(UPPER($U274)," ",""),'DM_NoiCongTac'!$C$2:$C$11)),1)),"Không tìm thấy"))</f>
        <v/>
      </c>
      <c r="AF274" s="5">
        <f>IF($V274="","",IFERROR(INDEX('DM_XaPhuong'!$B$2:$B$169,AGGREGATE(15,6,ROW('DM_XaPhuong'!$B$2:$B$169)-ROW('DM_XaPhuong'!$B$2)+1/ISNUMBER(SEARCH(SUBSTITUTE(UPPER($V274)," ",""),'DM_XaPhuong'!$C$2:$C$169)),1)),"Không tìm thấy"))</f>
        <v/>
      </c>
    </row>
    <row r="275">
      <c r="C275" s="5">
        <f>IF($B275="","",IFERROR(INDEX('DM_DoiTuong'!$B$2:$B$19,AGGREGATE(15,6,ROW('DM_DoiTuong'!$B$2:$B$19)-ROW('DM_DoiTuong'!$B$2)+1/ISNUMBER(SEARCH(SUBSTITUTE(UPPER($B275)," ",""),'DM_DoiTuong'!$C$2:$C$19)),1)),"Không tìm thấy"))</f>
        <v/>
      </c>
      <c r="E275" s="5">
        <f>IF($C275="","",IFERROR(INDEX('DM_DiaDiemKham'!$B$2:$B$6,AGGREGATE(15,6,ROW('DM_DiaDiemKham'!$B$2:$B$6)-ROW('DM_DiaDiemKham'!$B$2)+1/ISNUMBER(SEARCH(SUBSTITUTE(UPPER($C275)," ",""),'DM_DiaDiemKham'!$C$2:$C$6)),1)),"Không tìm thấy"))</f>
        <v/>
      </c>
      <c r="G275" s="5">
        <f>IF($D275="","",IFERROR(INDEX('DM_HinhThucChiTra'!$B$2:$B$5,AGGREGATE(15,6,ROW('DM_HinhThucChiTra'!$B$2:$B$5)-ROW('DM_HinhThucChiTra'!$B$2)+1/ISNUMBER(SEARCH(SUBSTITUTE(UPPER($D275)," ",""),'DM_HinhThucChiTra'!$C$2:$C$5)),1)),"Không tìm thấy"))</f>
        <v/>
      </c>
      <c r="I275" s="5">
        <f>IF($E275="","",IFERROR(INDEX('DM_HinhThucKham'!$B$2:$B$3,AGGREGATE(15,6,ROW('DM_HinhThucKham'!$B$2:$B$3)-ROW('DM_HinhThucKham'!$B$2)+1/ISNUMBER(SEARCH(SUBSTITUTE(UPPER($E275)," ",""),'DM_HinhThucKham'!$C$2:$C$3)),1)),"Không tìm thấy"))</f>
        <v/>
      </c>
      <c r="P275" s="5">
        <f>IF($K275="","",IFERROR(INDEX('DM_DanToc'!$B$2:$B$78,AGGREGATE(15,6,ROW('DM_DanToc'!$B$2:$B$78)-ROW('DM_DanToc'!$B$2)+1/ISNUMBER(SEARCH(SUBSTITUTE(UPPER($K275)," ",""),'DM_DanToc'!$C$2:$C$78)),1)),"Không tìm thấy"))</f>
        <v/>
      </c>
      <c r="W275" s="5">
        <f>IF($Q275="","",IFERROR(INDEX('DM_TinhThanh'!$B$2:$B$35,AGGREGATE(15,6,ROW('DM_TinhThanh'!$B$2:$B$35)-ROW('DM_TinhThanh'!$B$2)+1/ISNUMBER(SEARCH(SUBSTITUTE(UPPER($Q275)," ",""),'DM_TinhThanh'!$C$2:$C$35)),1)),"Không tìm thấy"))</f>
        <v/>
      </c>
      <c r="Y275" s="5">
        <f>IF($R275="","",IFERROR(INDEX('DM_XaPhuong'!$B$2:$B$169,AGGREGATE(15,6,ROW('DM_XaPhuong'!$B$2:$B$169)-ROW('DM_XaPhuong'!$B$2)+1/ISNUMBER(SEARCH(SUBSTITUTE(UPPER($R275)," ",""),'DM_XaPhuong'!$C$2:$C$169)),1)),"Không tìm thấy"))</f>
        <v/>
      </c>
      <c r="AB275" s="5">
        <f>IF($T275="","",IFERROR(INDEX('DM_NgheNghiep'!$B$2:$B$11,AGGREGATE(15,6,ROW('DM_NgheNghiep'!$B$2:$B$11)-ROW('DM_NgheNghiep'!$B$2)+1/ISNUMBER(SEARCH(SUBSTITUTE(UPPER($T275)," ",""),'DM_NgheNghiep'!$C$2:$C$11)),1)),"Không tìm thấy"))</f>
        <v/>
      </c>
      <c r="AD275" s="5">
        <f>IF($U275="","",IFERROR(INDEX('DM_NoiCongTac'!$B$2:$B$11,AGGREGATE(15,6,ROW('DM_NoiCongTac'!$B$2:$B$11)-ROW('DM_NoiCongTac'!$B$2)+1/ISNUMBER(SEARCH(SUBSTITUTE(UPPER($U275)," ",""),'DM_NoiCongTac'!$C$2:$C$11)),1)),"Không tìm thấy"))</f>
        <v/>
      </c>
      <c r="AF275" s="5">
        <f>IF($V275="","",IFERROR(INDEX('DM_XaPhuong'!$B$2:$B$169,AGGREGATE(15,6,ROW('DM_XaPhuong'!$B$2:$B$169)-ROW('DM_XaPhuong'!$B$2)+1/ISNUMBER(SEARCH(SUBSTITUTE(UPPER($V275)," ",""),'DM_XaPhuong'!$C$2:$C$169)),1)),"Không tìm thấy"))</f>
        <v/>
      </c>
    </row>
    <row r="276">
      <c r="C276" s="5">
        <f>IF($B276="","",IFERROR(INDEX('DM_DoiTuong'!$B$2:$B$19,AGGREGATE(15,6,ROW('DM_DoiTuong'!$B$2:$B$19)-ROW('DM_DoiTuong'!$B$2)+1/ISNUMBER(SEARCH(SUBSTITUTE(UPPER($B276)," ",""),'DM_DoiTuong'!$C$2:$C$19)),1)),"Không tìm thấy"))</f>
        <v/>
      </c>
      <c r="E276" s="5">
        <f>IF($C276="","",IFERROR(INDEX('DM_DiaDiemKham'!$B$2:$B$6,AGGREGATE(15,6,ROW('DM_DiaDiemKham'!$B$2:$B$6)-ROW('DM_DiaDiemKham'!$B$2)+1/ISNUMBER(SEARCH(SUBSTITUTE(UPPER($C276)," ",""),'DM_DiaDiemKham'!$C$2:$C$6)),1)),"Không tìm thấy"))</f>
        <v/>
      </c>
      <c r="G276" s="5">
        <f>IF($D276="","",IFERROR(INDEX('DM_HinhThucChiTra'!$B$2:$B$5,AGGREGATE(15,6,ROW('DM_HinhThucChiTra'!$B$2:$B$5)-ROW('DM_HinhThucChiTra'!$B$2)+1/ISNUMBER(SEARCH(SUBSTITUTE(UPPER($D276)," ",""),'DM_HinhThucChiTra'!$C$2:$C$5)),1)),"Không tìm thấy"))</f>
        <v/>
      </c>
      <c r="I276" s="5">
        <f>IF($E276="","",IFERROR(INDEX('DM_HinhThucKham'!$B$2:$B$3,AGGREGATE(15,6,ROW('DM_HinhThucKham'!$B$2:$B$3)-ROW('DM_HinhThucKham'!$B$2)+1/ISNUMBER(SEARCH(SUBSTITUTE(UPPER($E276)," ",""),'DM_HinhThucKham'!$C$2:$C$3)),1)),"Không tìm thấy"))</f>
        <v/>
      </c>
      <c r="P276" s="5">
        <f>IF($K276="","",IFERROR(INDEX('DM_DanToc'!$B$2:$B$78,AGGREGATE(15,6,ROW('DM_DanToc'!$B$2:$B$78)-ROW('DM_DanToc'!$B$2)+1/ISNUMBER(SEARCH(SUBSTITUTE(UPPER($K276)," ",""),'DM_DanToc'!$C$2:$C$78)),1)),"Không tìm thấy"))</f>
        <v/>
      </c>
      <c r="W276" s="5">
        <f>IF($Q276="","",IFERROR(INDEX('DM_TinhThanh'!$B$2:$B$35,AGGREGATE(15,6,ROW('DM_TinhThanh'!$B$2:$B$35)-ROW('DM_TinhThanh'!$B$2)+1/ISNUMBER(SEARCH(SUBSTITUTE(UPPER($Q276)," ",""),'DM_TinhThanh'!$C$2:$C$35)),1)),"Không tìm thấy"))</f>
        <v/>
      </c>
      <c r="Y276" s="5">
        <f>IF($R276="","",IFERROR(INDEX('DM_XaPhuong'!$B$2:$B$169,AGGREGATE(15,6,ROW('DM_XaPhuong'!$B$2:$B$169)-ROW('DM_XaPhuong'!$B$2)+1/ISNUMBER(SEARCH(SUBSTITUTE(UPPER($R276)," ",""),'DM_XaPhuong'!$C$2:$C$169)),1)),"Không tìm thấy"))</f>
        <v/>
      </c>
      <c r="AB276" s="5">
        <f>IF($T276="","",IFERROR(INDEX('DM_NgheNghiep'!$B$2:$B$11,AGGREGATE(15,6,ROW('DM_NgheNghiep'!$B$2:$B$11)-ROW('DM_NgheNghiep'!$B$2)+1/ISNUMBER(SEARCH(SUBSTITUTE(UPPER($T276)," ",""),'DM_NgheNghiep'!$C$2:$C$11)),1)),"Không tìm thấy"))</f>
        <v/>
      </c>
      <c r="AD276" s="5">
        <f>IF($U276="","",IFERROR(INDEX('DM_NoiCongTac'!$B$2:$B$11,AGGREGATE(15,6,ROW('DM_NoiCongTac'!$B$2:$B$11)-ROW('DM_NoiCongTac'!$B$2)+1/ISNUMBER(SEARCH(SUBSTITUTE(UPPER($U276)," ",""),'DM_NoiCongTac'!$C$2:$C$11)),1)),"Không tìm thấy"))</f>
        <v/>
      </c>
      <c r="AF276" s="5">
        <f>IF($V276="","",IFERROR(INDEX('DM_XaPhuong'!$B$2:$B$169,AGGREGATE(15,6,ROW('DM_XaPhuong'!$B$2:$B$169)-ROW('DM_XaPhuong'!$B$2)+1/ISNUMBER(SEARCH(SUBSTITUTE(UPPER($V276)," ",""),'DM_XaPhuong'!$C$2:$C$169)),1)),"Không tìm thấy"))</f>
        <v/>
      </c>
    </row>
    <row r="277">
      <c r="C277" s="5">
        <f>IF($B277="","",IFERROR(INDEX('DM_DoiTuong'!$B$2:$B$19,AGGREGATE(15,6,ROW('DM_DoiTuong'!$B$2:$B$19)-ROW('DM_DoiTuong'!$B$2)+1/ISNUMBER(SEARCH(SUBSTITUTE(UPPER($B277)," ",""),'DM_DoiTuong'!$C$2:$C$19)),1)),"Không tìm thấy"))</f>
        <v/>
      </c>
      <c r="E277" s="5">
        <f>IF($C277="","",IFERROR(INDEX('DM_DiaDiemKham'!$B$2:$B$6,AGGREGATE(15,6,ROW('DM_DiaDiemKham'!$B$2:$B$6)-ROW('DM_DiaDiemKham'!$B$2)+1/ISNUMBER(SEARCH(SUBSTITUTE(UPPER($C277)," ",""),'DM_DiaDiemKham'!$C$2:$C$6)),1)),"Không tìm thấy"))</f>
        <v/>
      </c>
      <c r="G277" s="5">
        <f>IF($D277="","",IFERROR(INDEX('DM_HinhThucChiTra'!$B$2:$B$5,AGGREGATE(15,6,ROW('DM_HinhThucChiTra'!$B$2:$B$5)-ROW('DM_HinhThucChiTra'!$B$2)+1/ISNUMBER(SEARCH(SUBSTITUTE(UPPER($D277)," ",""),'DM_HinhThucChiTra'!$C$2:$C$5)),1)),"Không tìm thấy"))</f>
        <v/>
      </c>
      <c r="I277" s="5">
        <f>IF($E277="","",IFERROR(INDEX('DM_HinhThucKham'!$B$2:$B$3,AGGREGATE(15,6,ROW('DM_HinhThucKham'!$B$2:$B$3)-ROW('DM_HinhThucKham'!$B$2)+1/ISNUMBER(SEARCH(SUBSTITUTE(UPPER($E277)," ",""),'DM_HinhThucKham'!$C$2:$C$3)),1)),"Không tìm thấy"))</f>
        <v/>
      </c>
      <c r="P277" s="5">
        <f>IF($K277="","",IFERROR(INDEX('DM_DanToc'!$B$2:$B$78,AGGREGATE(15,6,ROW('DM_DanToc'!$B$2:$B$78)-ROW('DM_DanToc'!$B$2)+1/ISNUMBER(SEARCH(SUBSTITUTE(UPPER($K277)," ",""),'DM_DanToc'!$C$2:$C$78)),1)),"Không tìm thấy"))</f>
        <v/>
      </c>
      <c r="W277" s="5">
        <f>IF($Q277="","",IFERROR(INDEX('DM_TinhThanh'!$B$2:$B$35,AGGREGATE(15,6,ROW('DM_TinhThanh'!$B$2:$B$35)-ROW('DM_TinhThanh'!$B$2)+1/ISNUMBER(SEARCH(SUBSTITUTE(UPPER($Q277)," ",""),'DM_TinhThanh'!$C$2:$C$35)),1)),"Không tìm thấy"))</f>
        <v/>
      </c>
      <c r="Y277" s="5">
        <f>IF($R277="","",IFERROR(INDEX('DM_XaPhuong'!$B$2:$B$169,AGGREGATE(15,6,ROW('DM_XaPhuong'!$B$2:$B$169)-ROW('DM_XaPhuong'!$B$2)+1/ISNUMBER(SEARCH(SUBSTITUTE(UPPER($R277)," ",""),'DM_XaPhuong'!$C$2:$C$169)),1)),"Không tìm thấy"))</f>
        <v/>
      </c>
      <c r="AB277" s="5">
        <f>IF($T277="","",IFERROR(INDEX('DM_NgheNghiep'!$B$2:$B$11,AGGREGATE(15,6,ROW('DM_NgheNghiep'!$B$2:$B$11)-ROW('DM_NgheNghiep'!$B$2)+1/ISNUMBER(SEARCH(SUBSTITUTE(UPPER($T277)," ",""),'DM_NgheNghiep'!$C$2:$C$11)),1)),"Không tìm thấy"))</f>
        <v/>
      </c>
      <c r="AD277" s="5">
        <f>IF($U277="","",IFERROR(INDEX('DM_NoiCongTac'!$B$2:$B$11,AGGREGATE(15,6,ROW('DM_NoiCongTac'!$B$2:$B$11)-ROW('DM_NoiCongTac'!$B$2)+1/ISNUMBER(SEARCH(SUBSTITUTE(UPPER($U277)," ",""),'DM_NoiCongTac'!$C$2:$C$11)),1)),"Không tìm thấy"))</f>
        <v/>
      </c>
      <c r="AF277" s="5">
        <f>IF($V277="","",IFERROR(INDEX('DM_XaPhuong'!$B$2:$B$169,AGGREGATE(15,6,ROW('DM_XaPhuong'!$B$2:$B$169)-ROW('DM_XaPhuong'!$B$2)+1/ISNUMBER(SEARCH(SUBSTITUTE(UPPER($V277)," ",""),'DM_XaPhuong'!$C$2:$C$169)),1)),"Không tìm thấy"))</f>
        <v/>
      </c>
    </row>
    <row r="278">
      <c r="C278" s="5">
        <f>IF($B278="","",IFERROR(INDEX('DM_DoiTuong'!$B$2:$B$19,AGGREGATE(15,6,ROW('DM_DoiTuong'!$B$2:$B$19)-ROW('DM_DoiTuong'!$B$2)+1/ISNUMBER(SEARCH(SUBSTITUTE(UPPER($B278)," ",""),'DM_DoiTuong'!$C$2:$C$19)),1)),"Không tìm thấy"))</f>
        <v/>
      </c>
      <c r="E278" s="5">
        <f>IF($C278="","",IFERROR(INDEX('DM_DiaDiemKham'!$B$2:$B$6,AGGREGATE(15,6,ROW('DM_DiaDiemKham'!$B$2:$B$6)-ROW('DM_DiaDiemKham'!$B$2)+1/ISNUMBER(SEARCH(SUBSTITUTE(UPPER($C278)," ",""),'DM_DiaDiemKham'!$C$2:$C$6)),1)),"Không tìm thấy"))</f>
        <v/>
      </c>
      <c r="G278" s="5">
        <f>IF($D278="","",IFERROR(INDEX('DM_HinhThucChiTra'!$B$2:$B$5,AGGREGATE(15,6,ROW('DM_HinhThucChiTra'!$B$2:$B$5)-ROW('DM_HinhThucChiTra'!$B$2)+1/ISNUMBER(SEARCH(SUBSTITUTE(UPPER($D278)," ",""),'DM_HinhThucChiTra'!$C$2:$C$5)),1)),"Không tìm thấy"))</f>
        <v/>
      </c>
      <c r="I278" s="5">
        <f>IF($E278="","",IFERROR(INDEX('DM_HinhThucKham'!$B$2:$B$3,AGGREGATE(15,6,ROW('DM_HinhThucKham'!$B$2:$B$3)-ROW('DM_HinhThucKham'!$B$2)+1/ISNUMBER(SEARCH(SUBSTITUTE(UPPER($E278)," ",""),'DM_HinhThucKham'!$C$2:$C$3)),1)),"Không tìm thấy"))</f>
        <v/>
      </c>
      <c r="P278" s="5">
        <f>IF($K278="","",IFERROR(INDEX('DM_DanToc'!$B$2:$B$78,AGGREGATE(15,6,ROW('DM_DanToc'!$B$2:$B$78)-ROW('DM_DanToc'!$B$2)+1/ISNUMBER(SEARCH(SUBSTITUTE(UPPER($K278)," ",""),'DM_DanToc'!$C$2:$C$78)),1)),"Không tìm thấy"))</f>
        <v/>
      </c>
      <c r="W278" s="5">
        <f>IF($Q278="","",IFERROR(INDEX('DM_TinhThanh'!$B$2:$B$35,AGGREGATE(15,6,ROW('DM_TinhThanh'!$B$2:$B$35)-ROW('DM_TinhThanh'!$B$2)+1/ISNUMBER(SEARCH(SUBSTITUTE(UPPER($Q278)," ",""),'DM_TinhThanh'!$C$2:$C$35)),1)),"Không tìm thấy"))</f>
        <v/>
      </c>
      <c r="Y278" s="5">
        <f>IF($R278="","",IFERROR(INDEX('DM_XaPhuong'!$B$2:$B$169,AGGREGATE(15,6,ROW('DM_XaPhuong'!$B$2:$B$169)-ROW('DM_XaPhuong'!$B$2)+1/ISNUMBER(SEARCH(SUBSTITUTE(UPPER($R278)," ",""),'DM_XaPhuong'!$C$2:$C$169)),1)),"Không tìm thấy"))</f>
        <v/>
      </c>
      <c r="AB278" s="5">
        <f>IF($T278="","",IFERROR(INDEX('DM_NgheNghiep'!$B$2:$B$11,AGGREGATE(15,6,ROW('DM_NgheNghiep'!$B$2:$B$11)-ROW('DM_NgheNghiep'!$B$2)+1/ISNUMBER(SEARCH(SUBSTITUTE(UPPER($T278)," ",""),'DM_NgheNghiep'!$C$2:$C$11)),1)),"Không tìm thấy"))</f>
        <v/>
      </c>
      <c r="AD278" s="5">
        <f>IF($U278="","",IFERROR(INDEX('DM_NoiCongTac'!$B$2:$B$11,AGGREGATE(15,6,ROW('DM_NoiCongTac'!$B$2:$B$11)-ROW('DM_NoiCongTac'!$B$2)+1/ISNUMBER(SEARCH(SUBSTITUTE(UPPER($U278)," ",""),'DM_NoiCongTac'!$C$2:$C$11)),1)),"Không tìm thấy"))</f>
        <v/>
      </c>
      <c r="AF278" s="5">
        <f>IF($V278="","",IFERROR(INDEX('DM_XaPhuong'!$B$2:$B$169,AGGREGATE(15,6,ROW('DM_XaPhuong'!$B$2:$B$169)-ROW('DM_XaPhuong'!$B$2)+1/ISNUMBER(SEARCH(SUBSTITUTE(UPPER($V278)," ",""),'DM_XaPhuong'!$C$2:$C$169)),1)),"Không tìm thấy"))</f>
        <v/>
      </c>
    </row>
    <row r="279">
      <c r="C279" s="5">
        <f>IF($B279="","",IFERROR(INDEX('DM_DoiTuong'!$B$2:$B$19,AGGREGATE(15,6,ROW('DM_DoiTuong'!$B$2:$B$19)-ROW('DM_DoiTuong'!$B$2)+1/ISNUMBER(SEARCH(SUBSTITUTE(UPPER($B279)," ",""),'DM_DoiTuong'!$C$2:$C$19)),1)),"Không tìm thấy"))</f>
        <v/>
      </c>
      <c r="E279" s="5">
        <f>IF($C279="","",IFERROR(INDEX('DM_DiaDiemKham'!$B$2:$B$6,AGGREGATE(15,6,ROW('DM_DiaDiemKham'!$B$2:$B$6)-ROW('DM_DiaDiemKham'!$B$2)+1/ISNUMBER(SEARCH(SUBSTITUTE(UPPER($C279)," ",""),'DM_DiaDiemKham'!$C$2:$C$6)),1)),"Không tìm thấy"))</f>
        <v/>
      </c>
      <c r="G279" s="5">
        <f>IF($D279="","",IFERROR(INDEX('DM_HinhThucChiTra'!$B$2:$B$5,AGGREGATE(15,6,ROW('DM_HinhThucChiTra'!$B$2:$B$5)-ROW('DM_HinhThucChiTra'!$B$2)+1/ISNUMBER(SEARCH(SUBSTITUTE(UPPER($D279)," ",""),'DM_HinhThucChiTra'!$C$2:$C$5)),1)),"Không tìm thấy"))</f>
        <v/>
      </c>
      <c r="I279" s="5">
        <f>IF($E279="","",IFERROR(INDEX('DM_HinhThucKham'!$B$2:$B$3,AGGREGATE(15,6,ROW('DM_HinhThucKham'!$B$2:$B$3)-ROW('DM_HinhThucKham'!$B$2)+1/ISNUMBER(SEARCH(SUBSTITUTE(UPPER($E279)," ",""),'DM_HinhThucKham'!$C$2:$C$3)),1)),"Không tìm thấy"))</f>
        <v/>
      </c>
      <c r="P279" s="5">
        <f>IF($K279="","",IFERROR(INDEX('DM_DanToc'!$B$2:$B$78,AGGREGATE(15,6,ROW('DM_DanToc'!$B$2:$B$78)-ROW('DM_DanToc'!$B$2)+1/ISNUMBER(SEARCH(SUBSTITUTE(UPPER($K279)," ",""),'DM_DanToc'!$C$2:$C$78)),1)),"Không tìm thấy"))</f>
        <v/>
      </c>
      <c r="W279" s="5">
        <f>IF($Q279="","",IFERROR(INDEX('DM_TinhThanh'!$B$2:$B$35,AGGREGATE(15,6,ROW('DM_TinhThanh'!$B$2:$B$35)-ROW('DM_TinhThanh'!$B$2)+1/ISNUMBER(SEARCH(SUBSTITUTE(UPPER($Q279)," ",""),'DM_TinhThanh'!$C$2:$C$35)),1)),"Không tìm thấy"))</f>
        <v/>
      </c>
      <c r="Y279" s="5">
        <f>IF($R279="","",IFERROR(INDEX('DM_XaPhuong'!$B$2:$B$169,AGGREGATE(15,6,ROW('DM_XaPhuong'!$B$2:$B$169)-ROW('DM_XaPhuong'!$B$2)+1/ISNUMBER(SEARCH(SUBSTITUTE(UPPER($R279)," ",""),'DM_XaPhuong'!$C$2:$C$169)),1)),"Không tìm thấy"))</f>
        <v/>
      </c>
      <c r="AB279" s="5">
        <f>IF($T279="","",IFERROR(INDEX('DM_NgheNghiep'!$B$2:$B$11,AGGREGATE(15,6,ROW('DM_NgheNghiep'!$B$2:$B$11)-ROW('DM_NgheNghiep'!$B$2)+1/ISNUMBER(SEARCH(SUBSTITUTE(UPPER($T279)," ",""),'DM_NgheNghiep'!$C$2:$C$11)),1)),"Không tìm thấy"))</f>
        <v/>
      </c>
      <c r="AD279" s="5">
        <f>IF($U279="","",IFERROR(INDEX('DM_NoiCongTac'!$B$2:$B$11,AGGREGATE(15,6,ROW('DM_NoiCongTac'!$B$2:$B$11)-ROW('DM_NoiCongTac'!$B$2)+1/ISNUMBER(SEARCH(SUBSTITUTE(UPPER($U279)," ",""),'DM_NoiCongTac'!$C$2:$C$11)),1)),"Không tìm thấy"))</f>
        <v/>
      </c>
      <c r="AF279" s="5">
        <f>IF($V279="","",IFERROR(INDEX('DM_XaPhuong'!$B$2:$B$169,AGGREGATE(15,6,ROW('DM_XaPhuong'!$B$2:$B$169)-ROW('DM_XaPhuong'!$B$2)+1/ISNUMBER(SEARCH(SUBSTITUTE(UPPER($V279)," ",""),'DM_XaPhuong'!$C$2:$C$169)),1)),"Không tìm thấy"))</f>
        <v/>
      </c>
    </row>
    <row r="280">
      <c r="C280" s="5">
        <f>IF($B280="","",IFERROR(INDEX('DM_DoiTuong'!$B$2:$B$19,AGGREGATE(15,6,ROW('DM_DoiTuong'!$B$2:$B$19)-ROW('DM_DoiTuong'!$B$2)+1/ISNUMBER(SEARCH(SUBSTITUTE(UPPER($B280)," ",""),'DM_DoiTuong'!$C$2:$C$19)),1)),"Không tìm thấy"))</f>
        <v/>
      </c>
      <c r="E280" s="5">
        <f>IF($C280="","",IFERROR(INDEX('DM_DiaDiemKham'!$B$2:$B$6,AGGREGATE(15,6,ROW('DM_DiaDiemKham'!$B$2:$B$6)-ROW('DM_DiaDiemKham'!$B$2)+1/ISNUMBER(SEARCH(SUBSTITUTE(UPPER($C280)," ",""),'DM_DiaDiemKham'!$C$2:$C$6)),1)),"Không tìm thấy"))</f>
        <v/>
      </c>
      <c r="G280" s="5">
        <f>IF($D280="","",IFERROR(INDEX('DM_HinhThucChiTra'!$B$2:$B$5,AGGREGATE(15,6,ROW('DM_HinhThucChiTra'!$B$2:$B$5)-ROW('DM_HinhThucChiTra'!$B$2)+1/ISNUMBER(SEARCH(SUBSTITUTE(UPPER($D280)," ",""),'DM_HinhThucChiTra'!$C$2:$C$5)),1)),"Không tìm thấy"))</f>
        <v/>
      </c>
      <c r="I280" s="5">
        <f>IF($E280="","",IFERROR(INDEX('DM_HinhThucKham'!$B$2:$B$3,AGGREGATE(15,6,ROW('DM_HinhThucKham'!$B$2:$B$3)-ROW('DM_HinhThucKham'!$B$2)+1/ISNUMBER(SEARCH(SUBSTITUTE(UPPER($E280)," ",""),'DM_HinhThucKham'!$C$2:$C$3)),1)),"Không tìm thấy"))</f>
        <v/>
      </c>
      <c r="P280" s="5">
        <f>IF($K280="","",IFERROR(INDEX('DM_DanToc'!$B$2:$B$78,AGGREGATE(15,6,ROW('DM_DanToc'!$B$2:$B$78)-ROW('DM_DanToc'!$B$2)+1/ISNUMBER(SEARCH(SUBSTITUTE(UPPER($K280)," ",""),'DM_DanToc'!$C$2:$C$78)),1)),"Không tìm thấy"))</f>
        <v/>
      </c>
      <c r="W280" s="5">
        <f>IF($Q280="","",IFERROR(INDEX('DM_TinhThanh'!$B$2:$B$35,AGGREGATE(15,6,ROW('DM_TinhThanh'!$B$2:$B$35)-ROW('DM_TinhThanh'!$B$2)+1/ISNUMBER(SEARCH(SUBSTITUTE(UPPER($Q280)," ",""),'DM_TinhThanh'!$C$2:$C$35)),1)),"Không tìm thấy"))</f>
        <v/>
      </c>
      <c r="Y280" s="5">
        <f>IF($R280="","",IFERROR(INDEX('DM_XaPhuong'!$B$2:$B$169,AGGREGATE(15,6,ROW('DM_XaPhuong'!$B$2:$B$169)-ROW('DM_XaPhuong'!$B$2)+1/ISNUMBER(SEARCH(SUBSTITUTE(UPPER($R280)," ",""),'DM_XaPhuong'!$C$2:$C$169)),1)),"Không tìm thấy"))</f>
        <v/>
      </c>
      <c r="AB280" s="5">
        <f>IF($T280="","",IFERROR(INDEX('DM_NgheNghiep'!$B$2:$B$11,AGGREGATE(15,6,ROW('DM_NgheNghiep'!$B$2:$B$11)-ROW('DM_NgheNghiep'!$B$2)+1/ISNUMBER(SEARCH(SUBSTITUTE(UPPER($T280)," ",""),'DM_NgheNghiep'!$C$2:$C$11)),1)),"Không tìm thấy"))</f>
        <v/>
      </c>
      <c r="AD280" s="5">
        <f>IF($U280="","",IFERROR(INDEX('DM_NoiCongTac'!$B$2:$B$11,AGGREGATE(15,6,ROW('DM_NoiCongTac'!$B$2:$B$11)-ROW('DM_NoiCongTac'!$B$2)+1/ISNUMBER(SEARCH(SUBSTITUTE(UPPER($U280)," ",""),'DM_NoiCongTac'!$C$2:$C$11)),1)),"Không tìm thấy"))</f>
        <v/>
      </c>
      <c r="AF280" s="5">
        <f>IF($V280="","",IFERROR(INDEX('DM_XaPhuong'!$B$2:$B$169,AGGREGATE(15,6,ROW('DM_XaPhuong'!$B$2:$B$169)-ROW('DM_XaPhuong'!$B$2)+1/ISNUMBER(SEARCH(SUBSTITUTE(UPPER($V280)," ",""),'DM_XaPhuong'!$C$2:$C$169)),1)),"Không tìm thấy"))</f>
        <v/>
      </c>
    </row>
    <row r="281">
      <c r="C281" s="5">
        <f>IF($B281="","",IFERROR(INDEX('DM_DoiTuong'!$B$2:$B$19,AGGREGATE(15,6,ROW('DM_DoiTuong'!$B$2:$B$19)-ROW('DM_DoiTuong'!$B$2)+1/ISNUMBER(SEARCH(SUBSTITUTE(UPPER($B281)," ",""),'DM_DoiTuong'!$C$2:$C$19)),1)),"Không tìm thấy"))</f>
        <v/>
      </c>
      <c r="E281" s="5">
        <f>IF($C281="","",IFERROR(INDEX('DM_DiaDiemKham'!$B$2:$B$6,AGGREGATE(15,6,ROW('DM_DiaDiemKham'!$B$2:$B$6)-ROW('DM_DiaDiemKham'!$B$2)+1/ISNUMBER(SEARCH(SUBSTITUTE(UPPER($C281)," ",""),'DM_DiaDiemKham'!$C$2:$C$6)),1)),"Không tìm thấy"))</f>
        <v/>
      </c>
      <c r="G281" s="5">
        <f>IF($D281="","",IFERROR(INDEX('DM_HinhThucChiTra'!$B$2:$B$5,AGGREGATE(15,6,ROW('DM_HinhThucChiTra'!$B$2:$B$5)-ROW('DM_HinhThucChiTra'!$B$2)+1/ISNUMBER(SEARCH(SUBSTITUTE(UPPER($D281)," ",""),'DM_HinhThucChiTra'!$C$2:$C$5)),1)),"Không tìm thấy"))</f>
        <v/>
      </c>
      <c r="I281" s="5">
        <f>IF($E281="","",IFERROR(INDEX('DM_HinhThucKham'!$B$2:$B$3,AGGREGATE(15,6,ROW('DM_HinhThucKham'!$B$2:$B$3)-ROW('DM_HinhThucKham'!$B$2)+1/ISNUMBER(SEARCH(SUBSTITUTE(UPPER($E281)," ",""),'DM_HinhThucKham'!$C$2:$C$3)),1)),"Không tìm thấy"))</f>
        <v/>
      </c>
      <c r="P281" s="5">
        <f>IF($K281="","",IFERROR(INDEX('DM_DanToc'!$B$2:$B$78,AGGREGATE(15,6,ROW('DM_DanToc'!$B$2:$B$78)-ROW('DM_DanToc'!$B$2)+1/ISNUMBER(SEARCH(SUBSTITUTE(UPPER($K281)," ",""),'DM_DanToc'!$C$2:$C$78)),1)),"Không tìm thấy"))</f>
        <v/>
      </c>
      <c r="W281" s="5">
        <f>IF($Q281="","",IFERROR(INDEX('DM_TinhThanh'!$B$2:$B$35,AGGREGATE(15,6,ROW('DM_TinhThanh'!$B$2:$B$35)-ROW('DM_TinhThanh'!$B$2)+1/ISNUMBER(SEARCH(SUBSTITUTE(UPPER($Q281)," ",""),'DM_TinhThanh'!$C$2:$C$35)),1)),"Không tìm thấy"))</f>
        <v/>
      </c>
      <c r="Y281" s="5">
        <f>IF($R281="","",IFERROR(INDEX('DM_XaPhuong'!$B$2:$B$169,AGGREGATE(15,6,ROW('DM_XaPhuong'!$B$2:$B$169)-ROW('DM_XaPhuong'!$B$2)+1/ISNUMBER(SEARCH(SUBSTITUTE(UPPER($R281)," ",""),'DM_XaPhuong'!$C$2:$C$169)),1)),"Không tìm thấy"))</f>
        <v/>
      </c>
      <c r="AB281" s="5">
        <f>IF($T281="","",IFERROR(INDEX('DM_NgheNghiep'!$B$2:$B$11,AGGREGATE(15,6,ROW('DM_NgheNghiep'!$B$2:$B$11)-ROW('DM_NgheNghiep'!$B$2)+1/ISNUMBER(SEARCH(SUBSTITUTE(UPPER($T281)," ",""),'DM_NgheNghiep'!$C$2:$C$11)),1)),"Không tìm thấy"))</f>
        <v/>
      </c>
      <c r="AD281" s="5">
        <f>IF($U281="","",IFERROR(INDEX('DM_NoiCongTac'!$B$2:$B$11,AGGREGATE(15,6,ROW('DM_NoiCongTac'!$B$2:$B$11)-ROW('DM_NoiCongTac'!$B$2)+1/ISNUMBER(SEARCH(SUBSTITUTE(UPPER($U281)," ",""),'DM_NoiCongTac'!$C$2:$C$11)),1)),"Không tìm thấy"))</f>
        <v/>
      </c>
      <c r="AF281" s="5">
        <f>IF($V281="","",IFERROR(INDEX('DM_XaPhuong'!$B$2:$B$169,AGGREGATE(15,6,ROW('DM_XaPhuong'!$B$2:$B$169)-ROW('DM_XaPhuong'!$B$2)+1/ISNUMBER(SEARCH(SUBSTITUTE(UPPER($V281)," ",""),'DM_XaPhuong'!$C$2:$C$169)),1)),"Không tìm thấy"))</f>
        <v/>
      </c>
    </row>
    <row r="282">
      <c r="C282" s="5">
        <f>IF($B282="","",IFERROR(INDEX('DM_DoiTuong'!$B$2:$B$19,AGGREGATE(15,6,ROW('DM_DoiTuong'!$B$2:$B$19)-ROW('DM_DoiTuong'!$B$2)+1/ISNUMBER(SEARCH(SUBSTITUTE(UPPER($B282)," ",""),'DM_DoiTuong'!$C$2:$C$19)),1)),"Không tìm thấy"))</f>
        <v/>
      </c>
      <c r="E282" s="5">
        <f>IF($C282="","",IFERROR(INDEX('DM_DiaDiemKham'!$B$2:$B$6,AGGREGATE(15,6,ROW('DM_DiaDiemKham'!$B$2:$B$6)-ROW('DM_DiaDiemKham'!$B$2)+1/ISNUMBER(SEARCH(SUBSTITUTE(UPPER($C282)," ",""),'DM_DiaDiemKham'!$C$2:$C$6)),1)),"Không tìm thấy"))</f>
        <v/>
      </c>
      <c r="G282" s="5">
        <f>IF($D282="","",IFERROR(INDEX('DM_HinhThucChiTra'!$B$2:$B$5,AGGREGATE(15,6,ROW('DM_HinhThucChiTra'!$B$2:$B$5)-ROW('DM_HinhThucChiTra'!$B$2)+1/ISNUMBER(SEARCH(SUBSTITUTE(UPPER($D282)," ",""),'DM_HinhThucChiTra'!$C$2:$C$5)),1)),"Không tìm thấy"))</f>
        <v/>
      </c>
      <c r="I282" s="5">
        <f>IF($E282="","",IFERROR(INDEX('DM_HinhThucKham'!$B$2:$B$3,AGGREGATE(15,6,ROW('DM_HinhThucKham'!$B$2:$B$3)-ROW('DM_HinhThucKham'!$B$2)+1/ISNUMBER(SEARCH(SUBSTITUTE(UPPER($E282)," ",""),'DM_HinhThucKham'!$C$2:$C$3)),1)),"Không tìm thấy"))</f>
        <v/>
      </c>
      <c r="P282" s="5">
        <f>IF($K282="","",IFERROR(INDEX('DM_DanToc'!$B$2:$B$78,AGGREGATE(15,6,ROW('DM_DanToc'!$B$2:$B$78)-ROW('DM_DanToc'!$B$2)+1/ISNUMBER(SEARCH(SUBSTITUTE(UPPER($K282)," ",""),'DM_DanToc'!$C$2:$C$78)),1)),"Không tìm thấy"))</f>
        <v/>
      </c>
      <c r="W282" s="5">
        <f>IF($Q282="","",IFERROR(INDEX('DM_TinhThanh'!$B$2:$B$35,AGGREGATE(15,6,ROW('DM_TinhThanh'!$B$2:$B$35)-ROW('DM_TinhThanh'!$B$2)+1/ISNUMBER(SEARCH(SUBSTITUTE(UPPER($Q282)," ",""),'DM_TinhThanh'!$C$2:$C$35)),1)),"Không tìm thấy"))</f>
        <v/>
      </c>
      <c r="Y282" s="5">
        <f>IF($R282="","",IFERROR(INDEX('DM_XaPhuong'!$B$2:$B$169,AGGREGATE(15,6,ROW('DM_XaPhuong'!$B$2:$B$169)-ROW('DM_XaPhuong'!$B$2)+1/ISNUMBER(SEARCH(SUBSTITUTE(UPPER($R282)," ",""),'DM_XaPhuong'!$C$2:$C$169)),1)),"Không tìm thấy"))</f>
        <v/>
      </c>
      <c r="AB282" s="5">
        <f>IF($T282="","",IFERROR(INDEX('DM_NgheNghiep'!$B$2:$B$11,AGGREGATE(15,6,ROW('DM_NgheNghiep'!$B$2:$B$11)-ROW('DM_NgheNghiep'!$B$2)+1/ISNUMBER(SEARCH(SUBSTITUTE(UPPER($T282)," ",""),'DM_NgheNghiep'!$C$2:$C$11)),1)),"Không tìm thấy"))</f>
        <v/>
      </c>
      <c r="AD282" s="5">
        <f>IF($U282="","",IFERROR(INDEX('DM_NoiCongTac'!$B$2:$B$11,AGGREGATE(15,6,ROW('DM_NoiCongTac'!$B$2:$B$11)-ROW('DM_NoiCongTac'!$B$2)+1/ISNUMBER(SEARCH(SUBSTITUTE(UPPER($U282)," ",""),'DM_NoiCongTac'!$C$2:$C$11)),1)),"Không tìm thấy"))</f>
        <v/>
      </c>
      <c r="AF282" s="5">
        <f>IF($V282="","",IFERROR(INDEX('DM_XaPhuong'!$B$2:$B$169,AGGREGATE(15,6,ROW('DM_XaPhuong'!$B$2:$B$169)-ROW('DM_XaPhuong'!$B$2)+1/ISNUMBER(SEARCH(SUBSTITUTE(UPPER($V282)," ",""),'DM_XaPhuong'!$C$2:$C$169)),1)),"Không tìm thấy"))</f>
        <v/>
      </c>
    </row>
    <row r="283">
      <c r="C283" s="5">
        <f>IF($B283="","",IFERROR(INDEX('DM_DoiTuong'!$B$2:$B$19,AGGREGATE(15,6,ROW('DM_DoiTuong'!$B$2:$B$19)-ROW('DM_DoiTuong'!$B$2)+1/ISNUMBER(SEARCH(SUBSTITUTE(UPPER($B283)," ",""),'DM_DoiTuong'!$C$2:$C$19)),1)),"Không tìm thấy"))</f>
        <v/>
      </c>
      <c r="E283" s="5">
        <f>IF($C283="","",IFERROR(INDEX('DM_DiaDiemKham'!$B$2:$B$6,AGGREGATE(15,6,ROW('DM_DiaDiemKham'!$B$2:$B$6)-ROW('DM_DiaDiemKham'!$B$2)+1/ISNUMBER(SEARCH(SUBSTITUTE(UPPER($C283)," ",""),'DM_DiaDiemKham'!$C$2:$C$6)),1)),"Không tìm thấy"))</f>
        <v/>
      </c>
      <c r="G283" s="5">
        <f>IF($D283="","",IFERROR(INDEX('DM_HinhThucChiTra'!$B$2:$B$5,AGGREGATE(15,6,ROW('DM_HinhThucChiTra'!$B$2:$B$5)-ROW('DM_HinhThucChiTra'!$B$2)+1/ISNUMBER(SEARCH(SUBSTITUTE(UPPER($D283)," ",""),'DM_HinhThucChiTra'!$C$2:$C$5)),1)),"Không tìm thấy"))</f>
        <v/>
      </c>
      <c r="I283" s="5">
        <f>IF($E283="","",IFERROR(INDEX('DM_HinhThucKham'!$B$2:$B$3,AGGREGATE(15,6,ROW('DM_HinhThucKham'!$B$2:$B$3)-ROW('DM_HinhThucKham'!$B$2)+1/ISNUMBER(SEARCH(SUBSTITUTE(UPPER($E283)," ",""),'DM_HinhThucKham'!$C$2:$C$3)),1)),"Không tìm thấy"))</f>
        <v/>
      </c>
      <c r="P283" s="5">
        <f>IF($K283="","",IFERROR(INDEX('DM_DanToc'!$B$2:$B$78,AGGREGATE(15,6,ROW('DM_DanToc'!$B$2:$B$78)-ROW('DM_DanToc'!$B$2)+1/ISNUMBER(SEARCH(SUBSTITUTE(UPPER($K283)," ",""),'DM_DanToc'!$C$2:$C$78)),1)),"Không tìm thấy"))</f>
        <v/>
      </c>
      <c r="W283" s="5">
        <f>IF($Q283="","",IFERROR(INDEX('DM_TinhThanh'!$B$2:$B$35,AGGREGATE(15,6,ROW('DM_TinhThanh'!$B$2:$B$35)-ROW('DM_TinhThanh'!$B$2)+1/ISNUMBER(SEARCH(SUBSTITUTE(UPPER($Q283)," ",""),'DM_TinhThanh'!$C$2:$C$35)),1)),"Không tìm thấy"))</f>
        <v/>
      </c>
      <c r="Y283" s="5">
        <f>IF($R283="","",IFERROR(INDEX('DM_XaPhuong'!$B$2:$B$169,AGGREGATE(15,6,ROW('DM_XaPhuong'!$B$2:$B$169)-ROW('DM_XaPhuong'!$B$2)+1/ISNUMBER(SEARCH(SUBSTITUTE(UPPER($R283)," ",""),'DM_XaPhuong'!$C$2:$C$169)),1)),"Không tìm thấy"))</f>
        <v/>
      </c>
      <c r="AB283" s="5">
        <f>IF($T283="","",IFERROR(INDEX('DM_NgheNghiep'!$B$2:$B$11,AGGREGATE(15,6,ROW('DM_NgheNghiep'!$B$2:$B$11)-ROW('DM_NgheNghiep'!$B$2)+1/ISNUMBER(SEARCH(SUBSTITUTE(UPPER($T283)," ",""),'DM_NgheNghiep'!$C$2:$C$11)),1)),"Không tìm thấy"))</f>
        <v/>
      </c>
      <c r="AD283" s="5">
        <f>IF($U283="","",IFERROR(INDEX('DM_NoiCongTac'!$B$2:$B$11,AGGREGATE(15,6,ROW('DM_NoiCongTac'!$B$2:$B$11)-ROW('DM_NoiCongTac'!$B$2)+1/ISNUMBER(SEARCH(SUBSTITUTE(UPPER($U283)," ",""),'DM_NoiCongTac'!$C$2:$C$11)),1)),"Không tìm thấy"))</f>
        <v/>
      </c>
      <c r="AF283" s="5">
        <f>IF($V283="","",IFERROR(INDEX('DM_XaPhuong'!$B$2:$B$169,AGGREGATE(15,6,ROW('DM_XaPhuong'!$B$2:$B$169)-ROW('DM_XaPhuong'!$B$2)+1/ISNUMBER(SEARCH(SUBSTITUTE(UPPER($V283)," ",""),'DM_XaPhuong'!$C$2:$C$169)),1)),"Không tìm thấy"))</f>
        <v/>
      </c>
    </row>
    <row r="284">
      <c r="C284" s="5">
        <f>IF($B284="","",IFERROR(INDEX('DM_DoiTuong'!$B$2:$B$19,AGGREGATE(15,6,ROW('DM_DoiTuong'!$B$2:$B$19)-ROW('DM_DoiTuong'!$B$2)+1/ISNUMBER(SEARCH(SUBSTITUTE(UPPER($B284)," ",""),'DM_DoiTuong'!$C$2:$C$19)),1)),"Không tìm thấy"))</f>
        <v/>
      </c>
      <c r="E284" s="5">
        <f>IF($C284="","",IFERROR(INDEX('DM_DiaDiemKham'!$B$2:$B$6,AGGREGATE(15,6,ROW('DM_DiaDiemKham'!$B$2:$B$6)-ROW('DM_DiaDiemKham'!$B$2)+1/ISNUMBER(SEARCH(SUBSTITUTE(UPPER($C284)," ",""),'DM_DiaDiemKham'!$C$2:$C$6)),1)),"Không tìm thấy"))</f>
        <v/>
      </c>
      <c r="G284" s="5">
        <f>IF($D284="","",IFERROR(INDEX('DM_HinhThucChiTra'!$B$2:$B$5,AGGREGATE(15,6,ROW('DM_HinhThucChiTra'!$B$2:$B$5)-ROW('DM_HinhThucChiTra'!$B$2)+1/ISNUMBER(SEARCH(SUBSTITUTE(UPPER($D284)," ",""),'DM_HinhThucChiTra'!$C$2:$C$5)),1)),"Không tìm thấy"))</f>
        <v/>
      </c>
      <c r="I284" s="5">
        <f>IF($E284="","",IFERROR(INDEX('DM_HinhThucKham'!$B$2:$B$3,AGGREGATE(15,6,ROW('DM_HinhThucKham'!$B$2:$B$3)-ROW('DM_HinhThucKham'!$B$2)+1/ISNUMBER(SEARCH(SUBSTITUTE(UPPER($E284)," ",""),'DM_HinhThucKham'!$C$2:$C$3)),1)),"Không tìm thấy"))</f>
        <v/>
      </c>
      <c r="P284" s="5">
        <f>IF($K284="","",IFERROR(INDEX('DM_DanToc'!$B$2:$B$78,AGGREGATE(15,6,ROW('DM_DanToc'!$B$2:$B$78)-ROW('DM_DanToc'!$B$2)+1/ISNUMBER(SEARCH(SUBSTITUTE(UPPER($K284)," ",""),'DM_DanToc'!$C$2:$C$78)),1)),"Không tìm thấy"))</f>
        <v/>
      </c>
      <c r="W284" s="5">
        <f>IF($Q284="","",IFERROR(INDEX('DM_TinhThanh'!$B$2:$B$35,AGGREGATE(15,6,ROW('DM_TinhThanh'!$B$2:$B$35)-ROW('DM_TinhThanh'!$B$2)+1/ISNUMBER(SEARCH(SUBSTITUTE(UPPER($Q284)," ",""),'DM_TinhThanh'!$C$2:$C$35)),1)),"Không tìm thấy"))</f>
        <v/>
      </c>
      <c r="Y284" s="5">
        <f>IF($R284="","",IFERROR(INDEX('DM_XaPhuong'!$B$2:$B$169,AGGREGATE(15,6,ROW('DM_XaPhuong'!$B$2:$B$169)-ROW('DM_XaPhuong'!$B$2)+1/ISNUMBER(SEARCH(SUBSTITUTE(UPPER($R284)," ",""),'DM_XaPhuong'!$C$2:$C$169)),1)),"Không tìm thấy"))</f>
        <v/>
      </c>
      <c r="AB284" s="5">
        <f>IF($T284="","",IFERROR(INDEX('DM_NgheNghiep'!$B$2:$B$11,AGGREGATE(15,6,ROW('DM_NgheNghiep'!$B$2:$B$11)-ROW('DM_NgheNghiep'!$B$2)+1/ISNUMBER(SEARCH(SUBSTITUTE(UPPER($T284)," ",""),'DM_NgheNghiep'!$C$2:$C$11)),1)),"Không tìm thấy"))</f>
        <v/>
      </c>
      <c r="AD284" s="5">
        <f>IF($U284="","",IFERROR(INDEX('DM_NoiCongTac'!$B$2:$B$11,AGGREGATE(15,6,ROW('DM_NoiCongTac'!$B$2:$B$11)-ROW('DM_NoiCongTac'!$B$2)+1/ISNUMBER(SEARCH(SUBSTITUTE(UPPER($U284)," ",""),'DM_NoiCongTac'!$C$2:$C$11)),1)),"Không tìm thấy"))</f>
        <v/>
      </c>
      <c r="AF284" s="5">
        <f>IF($V284="","",IFERROR(INDEX('DM_XaPhuong'!$B$2:$B$169,AGGREGATE(15,6,ROW('DM_XaPhuong'!$B$2:$B$169)-ROW('DM_XaPhuong'!$B$2)+1/ISNUMBER(SEARCH(SUBSTITUTE(UPPER($V284)," ",""),'DM_XaPhuong'!$C$2:$C$169)),1)),"Không tìm thấy"))</f>
        <v/>
      </c>
    </row>
    <row r="285">
      <c r="C285" s="5">
        <f>IF($B285="","",IFERROR(INDEX('DM_DoiTuong'!$B$2:$B$19,AGGREGATE(15,6,ROW('DM_DoiTuong'!$B$2:$B$19)-ROW('DM_DoiTuong'!$B$2)+1/ISNUMBER(SEARCH(SUBSTITUTE(UPPER($B285)," ",""),'DM_DoiTuong'!$C$2:$C$19)),1)),"Không tìm thấy"))</f>
        <v/>
      </c>
      <c r="E285" s="5">
        <f>IF($C285="","",IFERROR(INDEX('DM_DiaDiemKham'!$B$2:$B$6,AGGREGATE(15,6,ROW('DM_DiaDiemKham'!$B$2:$B$6)-ROW('DM_DiaDiemKham'!$B$2)+1/ISNUMBER(SEARCH(SUBSTITUTE(UPPER($C285)," ",""),'DM_DiaDiemKham'!$C$2:$C$6)),1)),"Không tìm thấy"))</f>
        <v/>
      </c>
      <c r="G285" s="5">
        <f>IF($D285="","",IFERROR(INDEX('DM_HinhThucChiTra'!$B$2:$B$5,AGGREGATE(15,6,ROW('DM_HinhThucChiTra'!$B$2:$B$5)-ROW('DM_HinhThucChiTra'!$B$2)+1/ISNUMBER(SEARCH(SUBSTITUTE(UPPER($D285)," ",""),'DM_HinhThucChiTra'!$C$2:$C$5)),1)),"Không tìm thấy"))</f>
        <v/>
      </c>
      <c r="I285" s="5">
        <f>IF($E285="","",IFERROR(INDEX('DM_HinhThucKham'!$B$2:$B$3,AGGREGATE(15,6,ROW('DM_HinhThucKham'!$B$2:$B$3)-ROW('DM_HinhThucKham'!$B$2)+1/ISNUMBER(SEARCH(SUBSTITUTE(UPPER($E285)," ",""),'DM_HinhThucKham'!$C$2:$C$3)),1)),"Không tìm thấy"))</f>
        <v/>
      </c>
      <c r="P285" s="5">
        <f>IF($K285="","",IFERROR(INDEX('DM_DanToc'!$B$2:$B$78,AGGREGATE(15,6,ROW('DM_DanToc'!$B$2:$B$78)-ROW('DM_DanToc'!$B$2)+1/ISNUMBER(SEARCH(SUBSTITUTE(UPPER($K285)," ",""),'DM_DanToc'!$C$2:$C$78)),1)),"Không tìm thấy"))</f>
        <v/>
      </c>
      <c r="W285" s="5">
        <f>IF($Q285="","",IFERROR(INDEX('DM_TinhThanh'!$B$2:$B$35,AGGREGATE(15,6,ROW('DM_TinhThanh'!$B$2:$B$35)-ROW('DM_TinhThanh'!$B$2)+1/ISNUMBER(SEARCH(SUBSTITUTE(UPPER($Q285)," ",""),'DM_TinhThanh'!$C$2:$C$35)),1)),"Không tìm thấy"))</f>
        <v/>
      </c>
      <c r="Y285" s="5">
        <f>IF($R285="","",IFERROR(INDEX('DM_XaPhuong'!$B$2:$B$169,AGGREGATE(15,6,ROW('DM_XaPhuong'!$B$2:$B$169)-ROW('DM_XaPhuong'!$B$2)+1/ISNUMBER(SEARCH(SUBSTITUTE(UPPER($R285)," ",""),'DM_XaPhuong'!$C$2:$C$169)),1)),"Không tìm thấy"))</f>
        <v/>
      </c>
      <c r="AB285" s="5">
        <f>IF($T285="","",IFERROR(INDEX('DM_NgheNghiep'!$B$2:$B$11,AGGREGATE(15,6,ROW('DM_NgheNghiep'!$B$2:$B$11)-ROW('DM_NgheNghiep'!$B$2)+1/ISNUMBER(SEARCH(SUBSTITUTE(UPPER($T285)," ",""),'DM_NgheNghiep'!$C$2:$C$11)),1)),"Không tìm thấy"))</f>
        <v/>
      </c>
      <c r="AD285" s="5">
        <f>IF($U285="","",IFERROR(INDEX('DM_NoiCongTac'!$B$2:$B$11,AGGREGATE(15,6,ROW('DM_NoiCongTac'!$B$2:$B$11)-ROW('DM_NoiCongTac'!$B$2)+1/ISNUMBER(SEARCH(SUBSTITUTE(UPPER($U285)," ",""),'DM_NoiCongTac'!$C$2:$C$11)),1)),"Không tìm thấy"))</f>
        <v/>
      </c>
      <c r="AF285" s="5">
        <f>IF($V285="","",IFERROR(INDEX('DM_XaPhuong'!$B$2:$B$169,AGGREGATE(15,6,ROW('DM_XaPhuong'!$B$2:$B$169)-ROW('DM_XaPhuong'!$B$2)+1/ISNUMBER(SEARCH(SUBSTITUTE(UPPER($V285)," ",""),'DM_XaPhuong'!$C$2:$C$169)),1)),"Không tìm thấy"))</f>
        <v/>
      </c>
    </row>
    <row r="286">
      <c r="C286" s="5">
        <f>IF($B286="","",IFERROR(INDEX('DM_DoiTuong'!$B$2:$B$19,AGGREGATE(15,6,ROW('DM_DoiTuong'!$B$2:$B$19)-ROW('DM_DoiTuong'!$B$2)+1/ISNUMBER(SEARCH(SUBSTITUTE(UPPER($B286)," ",""),'DM_DoiTuong'!$C$2:$C$19)),1)),"Không tìm thấy"))</f>
        <v/>
      </c>
      <c r="E286" s="5">
        <f>IF($C286="","",IFERROR(INDEX('DM_DiaDiemKham'!$B$2:$B$6,AGGREGATE(15,6,ROW('DM_DiaDiemKham'!$B$2:$B$6)-ROW('DM_DiaDiemKham'!$B$2)+1/ISNUMBER(SEARCH(SUBSTITUTE(UPPER($C286)," ",""),'DM_DiaDiemKham'!$C$2:$C$6)),1)),"Không tìm thấy"))</f>
        <v/>
      </c>
      <c r="G286" s="5">
        <f>IF($D286="","",IFERROR(INDEX('DM_HinhThucChiTra'!$B$2:$B$5,AGGREGATE(15,6,ROW('DM_HinhThucChiTra'!$B$2:$B$5)-ROW('DM_HinhThucChiTra'!$B$2)+1/ISNUMBER(SEARCH(SUBSTITUTE(UPPER($D286)," ",""),'DM_HinhThucChiTra'!$C$2:$C$5)),1)),"Không tìm thấy"))</f>
        <v/>
      </c>
      <c r="I286" s="5">
        <f>IF($E286="","",IFERROR(INDEX('DM_HinhThucKham'!$B$2:$B$3,AGGREGATE(15,6,ROW('DM_HinhThucKham'!$B$2:$B$3)-ROW('DM_HinhThucKham'!$B$2)+1/ISNUMBER(SEARCH(SUBSTITUTE(UPPER($E286)," ",""),'DM_HinhThucKham'!$C$2:$C$3)),1)),"Không tìm thấy"))</f>
        <v/>
      </c>
      <c r="P286" s="5">
        <f>IF($K286="","",IFERROR(INDEX('DM_DanToc'!$B$2:$B$78,AGGREGATE(15,6,ROW('DM_DanToc'!$B$2:$B$78)-ROW('DM_DanToc'!$B$2)+1/ISNUMBER(SEARCH(SUBSTITUTE(UPPER($K286)," ",""),'DM_DanToc'!$C$2:$C$78)),1)),"Không tìm thấy"))</f>
        <v/>
      </c>
      <c r="W286" s="5">
        <f>IF($Q286="","",IFERROR(INDEX('DM_TinhThanh'!$B$2:$B$35,AGGREGATE(15,6,ROW('DM_TinhThanh'!$B$2:$B$35)-ROW('DM_TinhThanh'!$B$2)+1/ISNUMBER(SEARCH(SUBSTITUTE(UPPER($Q286)," ",""),'DM_TinhThanh'!$C$2:$C$35)),1)),"Không tìm thấy"))</f>
        <v/>
      </c>
      <c r="Y286" s="5">
        <f>IF($R286="","",IFERROR(INDEX('DM_XaPhuong'!$B$2:$B$169,AGGREGATE(15,6,ROW('DM_XaPhuong'!$B$2:$B$169)-ROW('DM_XaPhuong'!$B$2)+1/ISNUMBER(SEARCH(SUBSTITUTE(UPPER($R286)," ",""),'DM_XaPhuong'!$C$2:$C$169)),1)),"Không tìm thấy"))</f>
        <v/>
      </c>
      <c r="AB286" s="5">
        <f>IF($T286="","",IFERROR(INDEX('DM_NgheNghiep'!$B$2:$B$11,AGGREGATE(15,6,ROW('DM_NgheNghiep'!$B$2:$B$11)-ROW('DM_NgheNghiep'!$B$2)+1/ISNUMBER(SEARCH(SUBSTITUTE(UPPER($T286)," ",""),'DM_NgheNghiep'!$C$2:$C$11)),1)),"Không tìm thấy"))</f>
        <v/>
      </c>
      <c r="AD286" s="5">
        <f>IF($U286="","",IFERROR(INDEX('DM_NoiCongTac'!$B$2:$B$11,AGGREGATE(15,6,ROW('DM_NoiCongTac'!$B$2:$B$11)-ROW('DM_NoiCongTac'!$B$2)+1/ISNUMBER(SEARCH(SUBSTITUTE(UPPER($U286)," ",""),'DM_NoiCongTac'!$C$2:$C$11)),1)),"Không tìm thấy"))</f>
        <v/>
      </c>
      <c r="AF286" s="5">
        <f>IF($V286="","",IFERROR(INDEX('DM_XaPhuong'!$B$2:$B$169,AGGREGATE(15,6,ROW('DM_XaPhuong'!$B$2:$B$169)-ROW('DM_XaPhuong'!$B$2)+1/ISNUMBER(SEARCH(SUBSTITUTE(UPPER($V286)," ",""),'DM_XaPhuong'!$C$2:$C$169)),1)),"Không tìm thấy"))</f>
        <v/>
      </c>
    </row>
    <row r="287">
      <c r="C287" s="5">
        <f>IF($B287="","",IFERROR(INDEX('DM_DoiTuong'!$B$2:$B$19,AGGREGATE(15,6,ROW('DM_DoiTuong'!$B$2:$B$19)-ROW('DM_DoiTuong'!$B$2)+1/ISNUMBER(SEARCH(SUBSTITUTE(UPPER($B287)," ",""),'DM_DoiTuong'!$C$2:$C$19)),1)),"Không tìm thấy"))</f>
        <v/>
      </c>
      <c r="E287" s="5">
        <f>IF($C287="","",IFERROR(INDEX('DM_DiaDiemKham'!$B$2:$B$6,AGGREGATE(15,6,ROW('DM_DiaDiemKham'!$B$2:$B$6)-ROW('DM_DiaDiemKham'!$B$2)+1/ISNUMBER(SEARCH(SUBSTITUTE(UPPER($C287)," ",""),'DM_DiaDiemKham'!$C$2:$C$6)),1)),"Không tìm thấy"))</f>
        <v/>
      </c>
      <c r="G287" s="5">
        <f>IF($D287="","",IFERROR(INDEX('DM_HinhThucChiTra'!$B$2:$B$5,AGGREGATE(15,6,ROW('DM_HinhThucChiTra'!$B$2:$B$5)-ROW('DM_HinhThucChiTra'!$B$2)+1/ISNUMBER(SEARCH(SUBSTITUTE(UPPER($D287)," ",""),'DM_HinhThucChiTra'!$C$2:$C$5)),1)),"Không tìm thấy"))</f>
        <v/>
      </c>
      <c r="I287" s="5">
        <f>IF($E287="","",IFERROR(INDEX('DM_HinhThucKham'!$B$2:$B$3,AGGREGATE(15,6,ROW('DM_HinhThucKham'!$B$2:$B$3)-ROW('DM_HinhThucKham'!$B$2)+1/ISNUMBER(SEARCH(SUBSTITUTE(UPPER($E287)," ",""),'DM_HinhThucKham'!$C$2:$C$3)),1)),"Không tìm thấy"))</f>
        <v/>
      </c>
      <c r="P287" s="5">
        <f>IF($K287="","",IFERROR(INDEX('DM_DanToc'!$B$2:$B$78,AGGREGATE(15,6,ROW('DM_DanToc'!$B$2:$B$78)-ROW('DM_DanToc'!$B$2)+1/ISNUMBER(SEARCH(SUBSTITUTE(UPPER($K287)," ",""),'DM_DanToc'!$C$2:$C$78)),1)),"Không tìm thấy"))</f>
        <v/>
      </c>
      <c r="W287" s="5">
        <f>IF($Q287="","",IFERROR(INDEX('DM_TinhThanh'!$B$2:$B$35,AGGREGATE(15,6,ROW('DM_TinhThanh'!$B$2:$B$35)-ROW('DM_TinhThanh'!$B$2)+1/ISNUMBER(SEARCH(SUBSTITUTE(UPPER($Q287)," ",""),'DM_TinhThanh'!$C$2:$C$35)),1)),"Không tìm thấy"))</f>
        <v/>
      </c>
      <c r="Y287" s="5">
        <f>IF($R287="","",IFERROR(INDEX('DM_XaPhuong'!$B$2:$B$169,AGGREGATE(15,6,ROW('DM_XaPhuong'!$B$2:$B$169)-ROW('DM_XaPhuong'!$B$2)+1/ISNUMBER(SEARCH(SUBSTITUTE(UPPER($R287)," ",""),'DM_XaPhuong'!$C$2:$C$169)),1)),"Không tìm thấy"))</f>
        <v/>
      </c>
      <c r="AB287" s="5">
        <f>IF($T287="","",IFERROR(INDEX('DM_NgheNghiep'!$B$2:$B$11,AGGREGATE(15,6,ROW('DM_NgheNghiep'!$B$2:$B$11)-ROW('DM_NgheNghiep'!$B$2)+1/ISNUMBER(SEARCH(SUBSTITUTE(UPPER($T287)," ",""),'DM_NgheNghiep'!$C$2:$C$11)),1)),"Không tìm thấy"))</f>
        <v/>
      </c>
      <c r="AD287" s="5">
        <f>IF($U287="","",IFERROR(INDEX('DM_NoiCongTac'!$B$2:$B$11,AGGREGATE(15,6,ROW('DM_NoiCongTac'!$B$2:$B$11)-ROW('DM_NoiCongTac'!$B$2)+1/ISNUMBER(SEARCH(SUBSTITUTE(UPPER($U287)," ",""),'DM_NoiCongTac'!$C$2:$C$11)),1)),"Không tìm thấy"))</f>
        <v/>
      </c>
      <c r="AF287" s="5">
        <f>IF($V287="","",IFERROR(INDEX('DM_XaPhuong'!$B$2:$B$169,AGGREGATE(15,6,ROW('DM_XaPhuong'!$B$2:$B$169)-ROW('DM_XaPhuong'!$B$2)+1/ISNUMBER(SEARCH(SUBSTITUTE(UPPER($V287)," ",""),'DM_XaPhuong'!$C$2:$C$169)),1)),"Không tìm thấy"))</f>
        <v/>
      </c>
    </row>
    <row r="288">
      <c r="C288" s="5">
        <f>IF($B288="","",IFERROR(INDEX('DM_DoiTuong'!$B$2:$B$19,AGGREGATE(15,6,ROW('DM_DoiTuong'!$B$2:$B$19)-ROW('DM_DoiTuong'!$B$2)+1/ISNUMBER(SEARCH(SUBSTITUTE(UPPER($B288)," ",""),'DM_DoiTuong'!$C$2:$C$19)),1)),"Không tìm thấy"))</f>
        <v/>
      </c>
      <c r="E288" s="5">
        <f>IF($C288="","",IFERROR(INDEX('DM_DiaDiemKham'!$B$2:$B$6,AGGREGATE(15,6,ROW('DM_DiaDiemKham'!$B$2:$B$6)-ROW('DM_DiaDiemKham'!$B$2)+1/ISNUMBER(SEARCH(SUBSTITUTE(UPPER($C288)," ",""),'DM_DiaDiemKham'!$C$2:$C$6)),1)),"Không tìm thấy"))</f>
        <v/>
      </c>
      <c r="G288" s="5">
        <f>IF($D288="","",IFERROR(INDEX('DM_HinhThucChiTra'!$B$2:$B$5,AGGREGATE(15,6,ROW('DM_HinhThucChiTra'!$B$2:$B$5)-ROW('DM_HinhThucChiTra'!$B$2)+1/ISNUMBER(SEARCH(SUBSTITUTE(UPPER($D288)," ",""),'DM_HinhThucChiTra'!$C$2:$C$5)),1)),"Không tìm thấy"))</f>
        <v/>
      </c>
      <c r="I288" s="5">
        <f>IF($E288="","",IFERROR(INDEX('DM_HinhThucKham'!$B$2:$B$3,AGGREGATE(15,6,ROW('DM_HinhThucKham'!$B$2:$B$3)-ROW('DM_HinhThucKham'!$B$2)+1/ISNUMBER(SEARCH(SUBSTITUTE(UPPER($E288)," ",""),'DM_HinhThucKham'!$C$2:$C$3)),1)),"Không tìm thấy"))</f>
        <v/>
      </c>
      <c r="P288" s="5">
        <f>IF($K288="","",IFERROR(INDEX('DM_DanToc'!$B$2:$B$78,AGGREGATE(15,6,ROW('DM_DanToc'!$B$2:$B$78)-ROW('DM_DanToc'!$B$2)+1/ISNUMBER(SEARCH(SUBSTITUTE(UPPER($K288)," ",""),'DM_DanToc'!$C$2:$C$78)),1)),"Không tìm thấy"))</f>
        <v/>
      </c>
      <c r="W288" s="5">
        <f>IF($Q288="","",IFERROR(INDEX('DM_TinhThanh'!$B$2:$B$35,AGGREGATE(15,6,ROW('DM_TinhThanh'!$B$2:$B$35)-ROW('DM_TinhThanh'!$B$2)+1/ISNUMBER(SEARCH(SUBSTITUTE(UPPER($Q288)," ",""),'DM_TinhThanh'!$C$2:$C$35)),1)),"Không tìm thấy"))</f>
        <v/>
      </c>
      <c r="Y288" s="5">
        <f>IF($R288="","",IFERROR(INDEX('DM_XaPhuong'!$B$2:$B$169,AGGREGATE(15,6,ROW('DM_XaPhuong'!$B$2:$B$169)-ROW('DM_XaPhuong'!$B$2)+1/ISNUMBER(SEARCH(SUBSTITUTE(UPPER($R288)," ",""),'DM_XaPhuong'!$C$2:$C$169)),1)),"Không tìm thấy"))</f>
        <v/>
      </c>
      <c r="AB288" s="5">
        <f>IF($T288="","",IFERROR(INDEX('DM_NgheNghiep'!$B$2:$B$11,AGGREGATE(15,6,ROW('DM_NgheNghiep'!$B$2:$B$11)-ROW('DM_NgheNghiep'!$B$2)+1/ISNUMBER(SEARCH(SUBSTITUTE(UPPER($T288)," ",""),'DM_NgheNghiep'!$C$2:$C$11)),1)),"Không tìm thấy"))</f>
        <v/>
      </c>
      <c r="AD288" s="5">
        <f>IF($U288="","",IFERROR(INDEX('DM_NoiCongTac'!$B$2:$B$11,AGGREGATE(15,6,ROW('DM_NoiCongTac'!$B$2:$B$11)-ROW('DM_NoiCongTac'!$B$2)+1/ISNUMBER(SEARCH(SUBSTITUTE(UPPER($U288)," ",""),'DM_NoiCongTac'!$C$2:$C$11)),1)),"Không tìm thấy"))</f>
        <v/>
      </c>
      <c r="AF288" s="5">
        <f>IF($V288="","",IFERROR(INDEX('DM_XaPhuong'!$B$2:$B$169,AGGREGATE(15,6,ROW('DM_XaPhuong'!$B$2:$B$169)-ROW('DM_XaPhuong'!$B$2)+1/ISNUMBER(SEARCH(SUBSTITUTE(UPPER($V288)," ",""),'DM_XaPhuong'!$C$2:$C$169)),1)),"Không tìm thấy"))</f>
        <v/>
      </c>
    </row>
    <row r="289">
      <c r="C289" s="5">
        <f>IF($B289="","",IFERROR(INDEX('DM_DoiTuong'!$B$2:$B$19,AGGREGATE(15,6,ROW('DM_DoiTuong'!$B$2:$B$19)-ROW('DM_DoiTuong'!$B$2)+1/ISNUMBER(SEARCH(SUBSTITUTE(UPPER($B289)," ",""),'DM_DoiTuong'!$C$2:$C$19)),1)),"Không tìm thấy"))</f>
        <v/>
      </c>
      <c r="E289" s="5">
        <f>IF($C289="","",IFERROR(INDEX('DM_DiaDiemKham'!$B$2:$B$6,AGGREGATE(15,6,ROW('DM_DiaDiemKham'!$B$2:$B$6)-ROW('DM_DiaDiemKham'!$B$2)+1/ISNUMBER(SEARCH(SUBSTITUTE(UPPER($C289)," ",""),'DM_DiaDiemKham'!$C$2:$C$6)),1)),"Không tìm thấy"))</f>
        <v/>
      </c>
      <c r="G289" s="5">
        <f>IF($D289="","",IFERROR(INDEX('DM_HinhThucChiTra'!$B$2:$B$5,AGGREGATE(15,6,ROW('DM_HinhThucChiTra'!$B$2:$B$5)-ROW('DM_HinhThucChiTra'!$B$2)+1/ISNUMBER(SEARCH(SUBSTITUTE(UPPER($D289)," ",""),'DM_HinhThucChiTra'!$C$2:$C$5)),1)),"Không tìm thấy"))</f>
        <v/>
      </c>
      <c r="I289" s="5">
        <f>IF($E289="","",IFERROR(INDEX('DM_HinhThucKham'!$B$2:$B$3,AGGREGATE(15,6,ROW('DM_HinhThucKham'!$B$2:$B$3)-ROW('DM_HinhThucKham'!$B$2)+1/ISNUMBER(SEARCH(SUBSTITUTE(UPPER($E289)," ",""),'DM_HinhThucKham'!$C$2:$C$3)),1)),"Không tìm thấy"))</f>
        <v/>
      </c>
      <c r="P289" s="5">
        <f>IF($K289="","",IFERROR(INDEX('DM_DanToc'!$B$2:$B$78,AGGREGATE(15,6,ROW('DM_DanToc'!$B$2:$B$78)-ROW('DM_DanToc'!$B$2)+1/ISNUMBER(SEARCH(SUBSTITUTE(UPPER($K289)," ",""),'DM_DanToc'!$C$2:$C$78)),1)),"Không tìm thấy"))</f>
        <v/>
      </c>
      <c r="W289" s="5">
        <f>IF($Q289="","",IFERROR(INDEX('DM_TinhThanh'!$B$2:$B$35,AGGREGATE(15,6,ROW('DM_TinhThanh'!$B$2:$B$35)-ROW('DM_TinhThanh'!$B$2)+1/ISNUMBER(SEARCH(SUBSTITUTE(UPPER($Q289)," ",""),'DM_TinhThanh'!$C$2:$C$35)),1)),"Không tìm thấy"))</f>
        <v/>
      </c>
      <c r="Y289" s="5">
        <f>IF($R289="","",IFERROR(INDEX('DM_XaPhuong'!$B$2:$B$169,AGGREGATE(15,6,ROW('DM_XaPhuong'!$B$2:$B$169)-ROW('DM_XaPhuong'!$B$2)+1/ISNUMBER(SEARCH(SUBSTITUTE(UPPER($R289)," ",""),'DM_XaPhuong'!$C$2:$C$169)),1)),"Không tìm thấy"))</f>
        <v/>
      </c>
      <c r="AB289" s="5">
        <f>IF($T289="","",IFERROR(INDEX('DM_NgheNghiep'!$B$2:$B$11,AGGREGATE(15,6,ROW('DM_NgheNghiep'!$B$2:$B$11)-ROW('DM_NgheNghiep'!$B$2)+1/ISNUMBER(SEARCH(SUBSTITUTE(UPPER($T289)," ",""),'DM_NgheNghiep'!$C$2:$C$11)),1)),"Không tìm thấy"))</f>
        <v/>
      </c>
      <c r="AD289" s="5">
        <f>IF($U289="","",IFERROR(INDEX('DM_NoiCongTac'!$B$2:$B$11,AGGREGATE(15,6,ROW('DM_NoiCongTac'!$B$2:$B$11)-ROW('DM_NoiCongTac'!$B$2)+1/ISNUMBER(SEARCH(SUBSTITUTE(UPPER($U289)," ",""),'DM_NoiCongTac'!$C$2:$C$11)),1)),"Không tìm thấy"))</f>
        <v/>
      </c>
      <c r="AF289" s="5">
        <f>IF($V289="","",IFERROR(INDEX('DM_XaPhuong'!$B$2:$B$169,AGGREGATE(15,6,ROW('DM_XaPhuong'!$B$2:$B$169)-ROW('DM_XaPhuong'!$B$2)+1/ISNUMBER(SEARCH(SUBSTITUTE(UPPER($V289)," ",""),'DM_XaPhuong'!$C$2:$C$169)),1)),"Không tìm thấy"))</f>
        <v/>
      </c>
    </row>
    <row r="290">
      <c r="C290" s="5">
        <f>IF($B290="","",IFERROR(INDEX('DM_DoiTuong'!$B$2:$B$19,AGGREGATE(15,6,ROW('DM_DoiTuong'!$B$2:$B$19)-ROW('DM_DoiTuong'!$B$2)+1/ISNUMBER(SEARCH(SUBSTITUTE(UPPER($B290)," ",""),'DM_DoiTuong'!$C$2:$C$19)),1)),"Không tìm thấy"))</f>
        <v/>
      </c>
      <c r="E290" s="5">
        <f>IF($C290="","",IFERROR(INDEX('DM_DiaDiemKham'!$B$2:$B$6,AGGREGATE(15,6,ROW('DM_DiaDiemKham'!$B$2:$B$6)-ROW('DM_DiaDiemKham'!$B$2)+1/ISNUMBER(SEARCH(SUBSTITUTE(UPPER($C290)," ",""),'DM_DiaDiemKham'!$C$2:$C$6)),1)),"Không tìm thấy"))</f>
        <v/>
      </c>
      <c r="G290" s="5">
        <f>IF($D290="","",IFERROR(INDEX('DM_HinhThucChiTra'!$B$2:$B$5,AGGREGATE(15,6,ROW('DM_HinhThucChiTra'!$B$2:$B$5)-ROW('DM_HinhThucChiTra'!$B$2)+1/ISNUMBER(SEARCH(SUBSTITUTE(UPPER($D290)," ",""),'DM_HinhThucChiTra'!$C$2:$C$5)),1)),"Không tìm thấy"))</f>
        <v/>
      </c>
      <c r="I290" s="5">
        <f>IF($E290="","",IFERROR(INDEX('DM_HinhThucKham'!$B$2:$B$3,AGGREGATE(15,6,ROW('DM_HinhThucKham'!$B$2:$B$3)-ROW('DM_HinhThucKham'!$B$2)+1/ISNUMBER(SEARCH(SUBSTITUTE(UPPER($E290)," ",""),'DM_HinhThucKham'!$C$2:$C$3)),1)),"Không tìm thấy"))</f>
        <v/>
      </c>
      <c r="P290" s="5">
        <f>IF($K290="","",IFERROR(INDEX('DM_DanToc'!$B$2:$B$78,AGGREGATE(15,6,ROW('DM_DanToc'!$B$2:$B$78)-ROW('DM_DanToc'!$B$2)+1/ISNUMBER(SEARCH(SUBSTITUTE(UPPER($K290)," ",""),'DM_DanToc'!$C$2:$C$78)),1)),"Không tìm thấy"))</f>
        <v/>
      </c>
      <c r="W290" s="5">
        <f>IF($Q290="","",IFERROR(INDEX('DM_TinhThanh'!$B$2:$B$35,AGGREGATE(15,6,ROW('DM_TinhThanh'!$B$2:$B$35)-ROW('DM_TinhThanh'!$B$2)+1/ISNUMBER(SEARCH(SUBSTITUTE(UPPER($Q290)," ",""),'DM_TinhThanh'!$C$2:$C$35)),1)),"Không tìm thấy"))</f>
        <v/>
      </c>
      <c r="Y290" s="5">
        <f>IF($R290="","",IFERROR(INDEX('DM_XaPhuong'!$B$2:$B$169,AGGREGATE(15,6,ROW('DM_XaPhuong'!$B$2:$B$169)-ROW('DM_XaPhuong'!$B$2)+1/ISNUMBER(SEARCH(SUBSTITUTE(UPPER($R290)," ",""),'DM_XaPhuong'!$C$2:$C$169)),1)),"Không tìm thấy"))</f>
        <v/>
      </c>
      <c r="AB290" s="5">
        <f>IF($T290="","",IFERROR(INDEX('DM_NgheNghiep'!$B$2:$B$11,AGGREGATE(15,6,ROW('DM_NgheNghiep'!$B$2:$B$11)-ROW('DM_NgheNghiep'!$B$2)+1/ISNUMBER(SEARCH(SUBSTITUTE(UPPER($T290)," ",""),'DM_NgheNghiep'!$C$2:$C$11)),1)),"Không tìm thấy"))</f>
        <v/>
      </c>
      <c r="AD290" s="5">
        <f>IF($U290="","",IFERROR(INDEX('DM_NoiCongTac'!$B$2:$B$11,AGGREGATE(15,6,ROW('DM_NoiCongTac'!$B$2:$B$11)-ROW('DM_NoiCongTac'!$B$2)+1/ISNUMBER(SEARCH(SUBSTITUTE(UPPER($U290)," ",""),'DM_NoiCongTac'!$C$2:$C$11)),1)),"Không tìm thấy"))</f>
        <v/>
      </c>
      <c r="AF290" s="5">
        <f>IF($V290="","",IFERROR(INDEX('DM_XaPhuong'!$B$2:$B$169,AGGREGATE(15,6,ROW('DM_XaPhuong'!$B$2:$B$169)-ROW('DM_XaPhuong'!$B$2)+1/ISNUMBER(SEARCH(SUBSTITUTE(UPPER($V290)," ",""),'DM_XaPhuong'!$C$2:$C$169)),1)),"Không tìm thấy"))</f>
        <v/>
      </c>
    </row>
    <row r="291">
      <c r="C291" s="5">
        <f>IF($B291="","",IFERROR(INDEX('DM_DoiTuong'!$B$2:$B$19,AGGREGATE(15,6,ROW('DM_DoiTuong'!$B$2:$B$19)-ROW('DM_DoiTuong'!$B$2)+1/ISNUMBER(SEARCH(SUBSTITUTE(UPPER($B291)," ",""),'DM_DoiTuong'!$C$2:$C$19)),1)),"Không tìm thấy"))</f>
        <v/>
      </c>
      <c r="E291" s="5">
        <f>IF($C291="","",IFERROR(INDEX('DM_DiaDiemKham'!$B$2:$B$6,AGGREGATE(15,6,ROW('DM_DiaDiemKham'!$B$2:$B$6)-ROW('DM_DiaDiemKham'!$B$2)+1/ISNUMBER(SEARCH(SUBSTITUTE(UPPER($C291)," ",""),'DM_DiaDiemKham'!$C$2:$C$6)),1)),"Không tìm thấy"))</f>
        <v/>
      </c>
      <c r="G291" s="5">
        <f>IF($D291="","",IFERROR(INDEX('DM_HinhThucChiTra'!$B$2:$B$5,AGGREGATE(15,6,ROW('DM_HinhThucChiTra'!$B$2:$B$5)-ROW('DM_HinhThucChiTra'!$B$2)+1/ISNUMBER(SEARCH(SUBSTITUTE(UPPER($D291)," ",""),'DM_HinhThucChiTra'!$C$2:$C$5)),1)),"Không tìm thấy"))</f>
        <v/>
      </c>
      <c r="I291" s="5">
        <f>IF($E291="","",IFERROR(INDEX('DM_HinhThucKham'!$B$2:$B$3,AGGREGATE(15,6,ROW('DM_HinhThucKham'!$B$2:$B$3)-ROW('DM_HinhThucKham'!$B$2)+1/ISNUMBER(SEARCH(SUBSTITUTE(UPPER($E291)," ",""),'DM_HinhThucKham'!$C$2:$C$3)),1)),"Không tìm thấy"))</f>
        <v/>
      </c>
      <c r="P291" s="5">
        <f>IF($K291="","",IFERROR(INDEX('DM_DanToc'!$B$2:$B$78,AGGREGATE(15,6,ROW('DM_DanToc'!$B$2:$B$78)-ROW('DM_DanToc'!$B$2)+1/ISNUMBER(SEARCH(SUBSTITUTE(UPPER($K291)," ",""),'DM_DanToc'!$C$2:$C$78)),1)),"Không tìm thấy"))</f>
        <v/>
      </c>
      <c r="W291" s="5">
        <f>IF($Q291="","",IFERROR(INDEX('DM_TinhThanh'!$B$2:$B$35,AGGREGATE(15,6,ROW('DM_TinhThanh'!$B$2:$B$35)-ROW('DM_TinhThanh'!$B$2)+1/ISNUMBER(SEARCH(SUBSTITUTE(UPPER($Q291)," ",""),'DM_TinhThanh'!$C$2:$C$35)),1)),"Không tìm thấy"))</f>
        <v/>
      </c>
      <c r="Y291" s="5">
        <f>IF($R291="","",IFERROR(INDEX('DM_XaPhuong'!$B$2:$B$169,AGGREGATE(15,6,ROW('DM_XaPhuong'!$B$2:$B$169)-ROW('DM_XaPhuong'!$B$2)+1/ISNUMBER(SEARCH(SUBSTITUTE(UPPER($R291)," ",""),'DM_XaPhuong'!$C$2:$C$169)),1)),"Không tìm thấy"))</f>
        <v/>
      </c>
      <c r="AB291" s="5">
        <f>IF($T291="","",IFERROR(INDEX('DM_NgheNghiep'!$B$2:$B$11,AGGREGATE(15,6,ROW('DM_NgheNghiep'!$B$2:$B$11)-ROW('DM_NgheNghiep'!$B$2)+1/ISNUMBER(SEARCH(SUBSTITUTE(UPPER($T291)," ",""),'DM_NgheNghiep'!$C$2:$C$11)),1)),"Không tìm thấy"))</f>
        <v/>
      </c>
      <c r="AD291" s="5">
        <f>IF($U291="","",IFERROR(INDEX('DM_NoiCongTac'!$B$2:$B$11,AGGREGATE(15,6,ROW('DM_NoiCongTac'!$B$2:$B$11)-ROW('DM_NoiCongTac'!$B$2)+1/ISNUMBER(SEARCH(SUBSTITUTE(UPPER($U291)," ",""),'DM_NoiCongTac'!$C$2:$C$11)),1)),"Không tìm thấy"))</f>
        <v/>
      </c>
      <c r="AF291" s="5">
        <f>IF($V291="","",IFERROR(INDEX('DM_XaPhuong'!$B$2:$B$169,AGGREGATE(15,6,ROW('DM_XaPhuong'!$B$2:$B$169)-ROW('DM_XaPhuong'!$B$2)+1/ISNUMBER(SEARCH(SUBSTITUTE(UPPER($V291)," ",""),'DM_XaPhuong'!$C$2:$C$169)),1)),"Không tìm thấy"))</f>
        <v/>
      </c>
    </row>
    <row r="292">
      <c r="C292" s="5">
        <f>IF($B292="","",IFERROR(INDEX('DM_DoiTuong'!$B$2:$B$19,AGGREGATE(15,6,ROW('DM_DoiTuong'!$B$2:$B$19)-ROW('DM_DoiTuong'!$B$2)+1/ISNUMBER(SEARCH(SUBSTITUTE(UPPER($B292)," ",""),'DM_DoiTuong'!$C$2:$C$19)),1)),"Không tìm thấy"))</f>
        <v/>
      </c>
      <c r="E292" s="5">
        <f>IF($C292="","",IFERROR(INDEX('DM_DiaDiemKham'!$B$2:$B$6,AGGREGATE(15,6,ROW('DM_DiaDiemKham'!$B$2:$B$6)-ROW('DM_DiaDiemKham'!$B$2)+1/ISNUMBER(SEARCH(SUBSTITUTE(UPPER($C292)," ",""),'DM_DiaDiemKham'!$C$2:$C$6)),1)),"Không tìm thấy"))</f>
        <v/>
      </c>
      <c r="G292" s="5">
        <f>IF($D292="","",IFERROR(INDEX('DM_HinhThucChiTra'!$B$2:$B$5,AGGREGATE(15,6,ROW('DM_HinhThucChiTra'!$B$2:$B$5)-ROW('DM_HinhThucChiTra'!$B$2)+1/ISNUMBER(SEARCH(SUBSTITUTE(UPPER($D292)," ",""),'DM_HinhThucChiTra'!$C$2:$C$5)),1)),"Không tìm thấy"))</f>
        <v/>
      </c>
      <c r="I292" s="5">
        <f>IF($E292="","",IFERROR(INDEX('DM_HinhThucKham'!$B$2:$B$3,AGGREGATE(15,6,ROW('DM_HinhThucKham'!$B$2:$B$3)-ROW('DM_HinhThucKham'!$B$2)+1/ISNUMBER(SEARCH(SUBSTITUTE(UPPER($E292)," ",""),'DM_HinhThucKham'!$C$2:$C$3)),1)),"Không tìm thấy"))</f>
        <v/>
      </c>
      <c r="P292" s="5">
        <f>IF($K292="","",IFERROR(INDEX('DM_DanToc'!$B$2:$B$78,AGGREGATE(15,6,ROW('DM_DanToc'!$B$2:$B$78)-ROW('DM_DanToc'!$B$2)+1/ISNUMBER(SEARCH(SUBSTITUTE(UPPER($K292)," ",""),'DM_DanToc'!$C$2:$C$78)),1)),"Không tìm thấy"))</f>
        <v/>
      </c>
      <c r="W292" s="5">
        <f>IF($Q292="","",IFERROR(INDEX('DM_TinhThanh'!$B$2:$B$35,AGGREGATE(15,6,ROW('DM_TinhThanh'!$B$2:$B$35)-ROW('DM_TinhThanh'!$B$2)+1/ISNUMBER(SEARCH(SUBSTITUTE(UPPER($Q292)," ",""),'DM_TinhThanh'!$C$2:$C$35)),1)),"Không tìm thấy"))</f>
        <v/>
      </c>
      <c r="Y292" s="5">
        <f>IF($R292="","",IFERROR(INDEX('DM_XaPhuong'!$B$2:$B$169,AGGREGATE(15,6,ROW('DM_XaPhuong'!$B$2:$B$169)-ROW('DM_XaPhuong'!$B$2)+1/ISNUMBER(SEARCH(SUBSTITUTE(UPPER($R292)," ",""),'DM_XaPhuong'!$C$2:$C$169)),1)),"Không tìm thấy"))</f>
        <v/>
      </c>
      <c r="AB292" s="5">
        <f>IF($T292="","",IFERROR(INDEX('DM_NgheNghiep'!$B$2:$B$11,AGGREGATE(15,6,ROW('DM_NgheNghiep'!$B$2:$B$11)-ROW('DM_NgheNghiep'!$B$2)+1/ISNUMBER(SEARCH(SUBSTITUTE(UPPER($T292)," ",""),'DM_NgheNghiep'!$C$2:$C$11)),1)),"Không tìm thấy"))</f>
        <v/>
      </c>
      <c r="AD292" s="5">
        <f>IF($U292="","",IFERROR(INDEX('DM_NoiCongTac'!$B$2:$B$11,AGGREGATE(15,6,ROW('DM_NoiCongTac'!$B$2:$B$11)-ROW('DM_NoiCongTac'!$B$2)+1/ISNUMBER(SEARCH(SUBSTITUTE(UPPER($U292)," ",""),'DM_NoiCongTac'!$C$2:$C$11)),1)),"Không tìm thấy"))</f>
        <v/>
      </c>
      <c r="AF292" s="5">
        <f>IF($V292="","",IFERROR(INDEX('DM_XaPhuong'!$B$2:$B$169,AGGREGATE(15,6,ROW('DM_XaPhuong'!$B$2:$B$169)-ROW('DM_XaPhuong'!$B$2)+1/ISNUMBER(SEARCH(SUBSTITUTE(UPPER($V292)," ",""),'DM_XaPhuong'!$C$2:$C$169)),1)),"Không tìm thấy"))</f>
        <v/>
      </c>
    </row>
    <row r="293">
      <c r="C293" s="5">
        <f>IF($B293="","",IFERROR(INDEX('DM_DoiTuong'!$B$2:$B$19,AGGREGATE(15,6,ROW('DM_DoiTuong'!$B$2:$B$19)-ROW('DM_DoiTuong'!$B$2)+1/ISNUMBER(SEARCH(SUBSTITUTE(UPPER($B293)," ",""),'DM_DoiTuong'!$C$2:$C$19)),1)),"Không tìm thấy"))</f>
        <v/>
      </c>
      <c r="E293" s="5">
        <f>IF($C293="","",IFERROR(INDEX('DM_DiaDiemKham'!$B$2:$B$6,AGGREGATE(15,6,ROW('DM_DiaDiemKham'!$B$2:$B$6)-ROW('DM_DiaDiemKham'!$B$2)+1/ISNUMBER(SEARCH(SUBSTITUTE(UPPER($C293)," ",""),'DM_DiaDiemKham'!$C$2:$C$6)),1)),"Không tìm thấy"))</f>
        <v/>
      </c>
      <c r="G293" s="5">
        <f>IF($D293="","",IFERROR(INDEX('DM_HinhThucChiTra'!$B$2:$B$5,AGGREGATE(15,6,ROW('DM_HinhThucChiTra'!$B$2:$B$5)-ROW('DM_HinhThucChiTra'!$B$2)+1/ISNUMBER(SEARCH(SUBSTITUTE(UPPER($D293)," ",""),'DM_HinhThucChiTra'!$C$2:$C$5)),1)),"Không tìm thấy"))</f>
        <v/>
      </c>
      <c r="I293" s="5">
        <f>IF($E293="","",IFERROR(INDEX('DM_HinhThucKham'!$B$2:$B$3,AGGREGATE(15,6,ROW('DM_HinhThucKham'!$B$2:$B$3)-ROW('DM_HinhThucKham'!$B$2)+1/ISNUMBER(SEARCH(SUBSTITUTE(UPPER($E293)," ",""),'DM_HinhThucKham'!$C$2:$C$3)),1)),"Không tìm thấy"))</f>
        <v/>
      </c>
      <c r="P293" s="5">
        <f>IF($K293="","",IFERROR(INDEX('DM_DanToc'!$B$2:$B$78,AGGREGATE(15,6,ROW('DM_DanToc'!$B$2:$B$78)-ROW('DM_DanToc'!$B$2)+1/ISNUMBER(SEARCH(SUBSTITUTE(UPPER($K293)," ",""),'DM_DanToc'!$C$2:$C$78)),1)),"Không tìm thấy"))</f>
        <v/>
      </c>
      <c r="W293" s="5">
        <f>IF($Q293="","",IFERROR(INDEX('DM_TinhThanh'!$B$2:$B$35,AGGREGATE(15,6,ROW('DM_TinhThanh'!$B$2:$B$35)-ROW('DM_TinhThanh'!$B$2)+1/ISNUMBER(SEARCH(SUBSTITUTE(UPPER($Q293)," ",""),'DM_TinhThanh'!$C$2:$C$35)),1)),"Không tìm thấy"))</f>
        <v/>
      </c>
      <c r="Y293" s="5">
        <f>IF($R293="","",IFERROR(INDEX('DM_XaPhuong'!$B$2:$B$169,AGGREGATE(15,6,ROW('DM_XaPhuong'!$B$2:$B$169)-ROW('DM_XaPhuong'!$B$2)+1/ISNUMBER(SEARCH(SUBSTITUTE(UPPER($R293)," ",""),'DM_XaPhuong'!$C$2:$C$169)),1)),"Không tìm thấy"))</f>
        <v/>
      </c>
      <c r="AB293" s="5">
        <f>IF($T293="","",IFERROR(INDEX('DM_NgheNghiep'!$B$2:$B$11,AGGREGATE(15,6,ROW('DM_NgheNghiep'!$B$2:$B$11)-ROW('DM_NgheNghiep'!$B$2)+1/ISNUMBER(SEARCH(SUBSTITUTE(UPPER($T293)," ",""),'DM_NgheNghiep'!$C$2:$C$11)),1)),"Không tìm thấy"))</f>
        <v/>
      </c>
      <c r="AD293" s="5">
        <f>IF($U293="","",IFERROR(INDEX('DM_NoiCongTac'!$B$2:$B$11,AGGREGATE(15,6,ROW('DM_NoiCongTac'!$B$2:$B$11)-ROW('DM_NoiCongTac'!$B$2)+1/ISNUMBER(SEARCH(SUBSTITUTE(UPPER($U293)," ",""),'DM_NoiCongTac'!$C$2:$C$11)),1)),"Không tìm thấy"))</f>
        <v/>
      </c>
      <c r="AF293" s="5">
        <f>IF($V293="","",IFERROR(INDEX('DM_XaPhuong'!$B$2:$B$169,AGGREGATE(15,6,ROW('DM_XaPhuong'!$B$2:$B$169)-ROW('DM_XaPhuong'!$B$2)+1/ISNUMBER(SEARCH(SUBSTITUTE(UPPER($V293)," ",""),'DM_XaPhuong'!$C$2:$C$169)),1)),"Không tìm thấy"))</f>
        <v/>
      </c>
    </row>
    <row r="294">
      <c r="C294" s="5">
        <f>IF($B294="","",IFERROR(INDEX('DM_DoiTuong'!$B$2:$B$19,AGGREGATE(15,6,ROW('DM_DoiTuong'!$B$2:$B$19)-ROW('DM_DoiTuong'!$B$2)+1/ISNUMBER(SEARCH(SUBSTITUTE(UPPER($B294)," ",""),'DM_DoiTuong'!$C$2:$C$19)),1)),"Không tìm thấy"))</f>
        <v/>
      </c>
      <c r="E294" s="5">
        <f>IF($C294="","",IFERROR(INDEX('DM_DiaDiemKham'!$B$2:$B$6,AGGREGATE(15,6,ROW('DM_DiaDiemKham'!$B$2:$B$6)-ROW('DM_DiaDiemKham'!$B$2)+1/ISNUMBER(SEARCH(SUBSTITUTE(UPPER($C294)," ",""),'DM_DiaDiemKham'!$C$2:$C$6)),1)),"Không tìm thấy"))</f>
        <v/>
      </c>
      <c r="G294" s="5">
        <f>IF($D294="","",IFERROR(INDEX('DM_HinhThucChiTra'!$B$2:$B$5,AGGREGATE(15,6,ROW('DM_HinhThucChiTra'!$B$2:$B$5)-ROW('DM_HinhThucChiTra'!$B$2)+1/ISNUMBER(SEARCH(SUBSTITUTE(UPPER($D294)," ",""),'DM_HinhThucChiTra'!$C$2:$C$5)),1)),"Không tìm thấy"))</f>
        <v/>
      </c>
      <c r="I294" s="5">
        <f>IF($E294="","",IFERROR(INDEX('DM_HinhThucKham'!$B$2:$B$3,AGGREGATE(15,6,ROW('DM_HinhThucKham'!$B$2:$B$3)-ROW('DM_HinhThucKham'!$B$2)+1/ISNUMBER(SEARCH(SUBSTITUTE(UPPER($E294)," ",""),'DM_HinhThucKham'!$C$2:$C$3)),1)),"Không tìm thấy"))</f>
        <v/>
      </c>
      <c r="P294" s="5">
        <f>IF($K294="","",IFERROR(INDEX('DM_DanToc'!$B$2:$B$78,AGGREGATE(15,6,ROW('DM_DanToc'!$B$2:$B$78)-ROW('DM_DanToc'!$B$2)+1/ISNUMBER(SEARCH(SUBSTITUTE(UPPER($K294)," ",""),'DM_DanToc'!$C$2:$C$78)),1)),"Không tìm thấy"))</f>
        <v/>
      </c>
      <c r="W294" s="5">
        <f>IF($Q294="","",IFERROR(INDEX('DM_TinhThanh'!$B$2:$B$35,AGGREGATE(15,6,ROW('DM_TinhThanh'!$B$2:$B$35)-ROW('DM_TinhThanh'!$B$2)+1/ISNUMBER(SEARCH(SUBSTITUTE(UPPER($Q294)," ",""),'DM_TinhThanh'!$C$2:$C$35)),1)),"Không tìm thấy"))</f>
        <v/>
      </c>
      <c r="Y294" s="5">
        <f>IF($R294="","",IFERROR(INDEX('DM_XaPhuong'!$B$2:$B$169,AGGREGATE(15,6,ROW('DM_XaPhuong'!$B$2:$B$169)-ROW('DM_XaPhuong'!$B$2)+1/ISNUMBER(SEARCH(SUBSTITUTE(UPPER($R294)," ",""),'DM_XaPhuong'!$C$2:$C$169)),1)),"Không tìm thấy"))</f>
        <v/>
      </c>
      <c r="AB294" s="5">
        <f>IF($T294="","",IFERROR(INDEX('DM_NgheNghiep'!$B$2:$B$11,AGGREGATE(15,6,ROW('DM_NgheNghiep'!$B$2:$B$11)-ROW('DM_NgheNghiep'!$B$2)+1/ISNUMBER(SEARCH(SUBSTITUTE(UPPER($T294)," ",""),'DM_NgheNghiep'!$C$2:$C$11)),1)),"Không tìm thấy"))</f>
        <v/>
      </c>
      <c r="AD294" s="5">
        <f>IF($U294="","",IFERROR(INDEX('DM_NoiCongTac'!$B$2:$B$11,AGGREGATE(15,6,ROW('DM_NoiCongTac'!$B$2:$B$11)-ROW('DM_NoiCongTac'!$B$2)+1/ISNUMBER(SEARCH(SUBSTITUTE(UPPER($U294)," ",""),'DM_NoiCongTac'!$C$2:$C$11)),1)),"Không tìm thấy"))</f>
        <v/>
      </c>
      <c r="AF294" s="5">
        <f>IF($V294="","",IFERROR(INDEX('DM_XaPhuong'!$B$2:$B$169,AGGREGATE(15,6,ROW('DM_XaPhuong'!$B$2:$B$169)-ROW('DM_XaPhuong'!$B$2)+1/ISNUMBER(SEARCH(SUBSTITUTE(UPPER($V294)," ",""),'DM_XaPhuong'!$C$2:$C$169)),1)),"Không tìm thấy"))</f>
        <v/>
      </c>
    </row>
    <row r="295">
      <c r="C295" s="5">
        <f>IF($B295="","",IFERROR(INDEX('DM_DoiTuong'!$B$2:$B$19,AGGREGATE(15,6,ROW('DM_DoiTuong'!$B$2:$B$19)-ROW('DM_DoiTuong'!$B$2)+1/ISNUMBER(SEARCH(SUBSTITUTE(UPPER($B295)," ",""),'DM_DoiTuong'!$C$2:$C$19)),1)),"Không tìm thấy"))</f>
        <v/>
      </c>
      <c r="E295" s="5">
        <f>IF($C295="","",IFERROR(INDEX('DM_DiaDiemKham'!$B$2:$B$6,AGGREGATE(15,6,ROW('DM_DiaDiemKham'!$B$2:$B$6)-ROW('DM_DiaDiemKham'!$B$2)+1/ISNUMBER(SEARCH(SUBSTITUTE(UPPER($C295)," ",""),'DM_DiaDiemKham'!$C$2:$C$6)),1)),"Không tìm thấy"))</f>
        <v/>
      </c>
      <c r="G295" s="5">
        <f>IF($D295="","",IFERROR(INDEX('DM_HinhThucChiTra'!$B$2:$B$5,AGGREGATE(15,6,ROW('DM_HinhThucChiTra'!$B$2:$B$5)-ROW('DM_HinhThucChiTra'!$B$2)+1/ISNUMBER(SEARCH(SUBSTITUTE(UPPER($D295)," ",""),'DM_HinhThucChiTra'!$C$2:$C$5)),1)),"Không tìm thấy"))</f>
        <v/>
      </c>
      <c r="I295" s="5">
        <f>IF($E295="","",IFERROR(INDEX('DM_HinhThucKham'!$B$2:$B$3,AGGREGATE(15,6,ROW('DM_HinhThucKham'!$B$2:$B$3)-ROW('DM_HinhThucKham'!$B$2)+1/ISNUMBER(SEARCH(SUBSTITUTE(UPPER($E295)," ",""),'DM_HinhThucKham'!$C$2:$C$3)),1)),"Không tìm thấy"))</f>
        <v/>
      </c>
      <c r="P295" s="5">
        <f>IF($K295="","",IFERROR(INDEX('DM_DanToc'!$B$2:$B$78,AGGREGATE(15,6,ROW('DM_DanToc'!$B$2:$B$78)-ROW('DM_DanToc'!$B$2)+1/ISNUMBER(SEARCH(SUBSTITUTE(UPPER($K295)," ",""),'DM_DanToc'!$C$2:$C$78)),1)),"Không tìm thấy"))</f>
        <v/>
      </c>
      <c r="W295" s="5">
        <f>IF($Q295="","",IFERROR(INDEX('DM_TinhThanh'!$B$2:$B$35,AGGREGATE(15,6,ROW('DM_TinhThanh'!$B$2:$B$35)-ROW('DM_TinhThanh'!$B$2)+1/ISNUMBER(SEARCH(SUBSTITUTE(UPPER($Q295)," ",""),'DM_TinhThanh'!$C$2:$C$35)),1)),"Không tìm thấy"))</f>
        <v/>
      </c>
      <c r="Y295" s="5">
        <f>IF($R295="","",IFERROR(INDEX('DM_XaPhuong'!$B$2:$B$169,AGGREGATE(15,6,ROW('DM_XaPhuong'!$B$2:$B$169)-ROW('DM_XaPhuong'!$B$2)+1/ISNUMBER(SEARCH(SUBSTITUTE(UPPER($R295)," ",""),'DM_XaPhuong'!$C$2:$C$169)),1)),"Không tìm thấy"))</f>
        <v/>
      </c>
      <c r="AB295" s="5">
        <f>IF($T295="","",IFERROR(INDEX('DM_NgheNghiep'!$B$2:$B$11,AGGREGATE(15,6,ROW('DM_NgheNghiep'!$B$2:$B$11)-ROW('DM_NgheNghiep'!$B$2)+1/ISNUMBER(SEARCH(SUBSTITUTE(UPPER($T295)," ",""),'DM_NgheNghiep'!$C$2:$C$11)),1)),"Không tìm thấy"))</f>
        <v/>
      </c>
      <c r="AD295" s="5">
        <f>IF($U295="","",IFERROR(INDEX('DM_NoiCongTac'!$B$2:$B$11,AGGREGATE(15,6,ROW('DM_NoiCongTac'!$B$2:$B$11)-ROW('DM_NoiCongTac'!$B$2)+1/ISNUMBER(SEARCH(SUBSTITUTE(UPPER($U295)," ",""),'DM_NoiCongTac'!$C$2:$C$11)),1)),"Không tìm thấy"))</f>
        <v/>
      </c>
      <c r="AF295" s="5">
        <f>IF($V295="","",IFERROR(INDEX('DM_XaPhuong'!$B$2:$B$169,AGGREGATE(15,6,ROW('DM_XaPhuong'!$B$2:$B$169)-ROW('DM_XaPhuong'!$B$2)+1/ISNUMBER(SEARCH(SUBSTITUTE(UPPER($V295)," ",""),'DM_XaPhuong'!$C$2:$C$169)),1)),"Không tìm thấy"))</f>
        <v/>
      </c>
    </row>
    <row r="296">
      <c r="C296" s="5">
        <f>IF($B296="","",IFERROR(INDEX('DM_DoiTuong'!$B$2:$B$19,AGGREGATE(15,6,ROW('DM_DoiTuong'!$B$2:$B$19)-ROW('DM_DoiTuong'!$B$2)+1/ISNUMBER(SEARCH(SUBSTITUTE(UPPER($B296)," ",""),'DM_DoiTuong'!$C$2:$C$19)),1)),"Không tìm thấy"))</f>
        <v/>
      </c>
      <c r="E296" s="5">
        <f>IF($C296="","",IFERROR(INDEX('DM_DiaDiemKham'!$B$2:$B$6,AGGREGATE(15,6,ROW('DM_DiaDiemKham'!$B$2:$B$6)-ROW('DM_DiaDiemKham'!$B$2)+1/ISNUMBER(SEARCH(SUBSTITUTE(UPPER($C296)," ",""),'DM_DiaDiemKham'!$C$2:$C$6)),1)),"Không tìm thấy"))</f>
        <v/>
      </c>
      <c r="G296" s="5">
        <f>IF($D296="","",IFERROR(INDEX('DM_HinhThucChiTra'!$B$2:$B$5,AGGREGATE(15,6,ROW('DM_HinhThucChiTra'!$B$2:$B$5)-ROW('DM_HinhThucChiTra'!$B$2)+1/ISNUMBER(SEARCH(SUBSTITUTE(UPPER($D296)," ",""),'DM_HinhThucChiTra'!$C$2:$C$5)),1)),"Không tìm thấy"))</f>
        <v/>
      </c>
      <c r="I296" s="5">
        <f>IF($E296="","",IFERROR(INDEX('DM_HinhThucKham'!$B$2:$B$3,AGGREGATE(15,6,ROW('DM_HinhThucKham'!$B$2:$B$3)-ROW('DM_HinhThucKham'!$B$2)+1/ISNUMBER(SEARCH(SUBSTITUTE(UPPER($E296)," ",""),'DM_HinhThucKham'!$C$2:$C$3)),1)),"Không tìm thấy"))</f>
        <v/>
      </c>
      <c r="P296" s="5">
        <f>IF($K296="","",IFERROR(INDEX('DM_DanToc'!$B$2:$B$78,AGGREGATE(15,6,ROW('DM_DanToc'!$B$2:$B$78)-ROW('DM_DanToc'!$B$2)+1/ISNUMBER(SEARCH(SUBSTITUTE(UPPER($K296)," ",""),'DM_DanToc'!$C$2:$C$78)),1)),"Không tìm thấy"))</f>
        <v/>
      </c>
      <c r="W296" s="5">
        <f>IF($Q296="","",IFERROR(INDEX('DM_TinhThanh'!$B$2:$B$35,AGGREGATE(15,6,ROW('DM_TinhThanh'!$B$2:$B$35)-ROW('DM_TinhThanh'!$B$2)+1/ISNUMBER(SEARCH(SUBSTITUTE(UPPER($Q296)," ",""),'DM_TinhThanh'!$C$2:$C$35)),1)),"Không tìm thấy"))</f>
        <v/>
      </c>
      <c r="Y296" s="5">
        <f>IF($R296="","",IFERROR(INDEX('DM_XaPhuong'!$B$2:$B$169,AGGREGATE(15,6,ROW('DM_XaPhuong'!$B$2:$B$169)-ROW('DM_XaPhuong'!$B$2)+1/ISNUMBER(SEARCH(SUBSTITUTE(UPPER($R296)," ",""),'DM_XaPhuong'!$C$2:$C$169)),1)),"Không tìm thấy"))</f>
        <v/>
      </c>
      <c r="AB296" s="5">
        <f>IF($T296="","",IFERROR(INDEX('DM_NgheNghiep'!$B$2:$B$11,AGGREGATE(15,6,ROW('DM_NgheNghiep'!$B$2:$B$11)-ROW('DM_NgheNghiep'!$B$2)+1/ISNUMBER(SEARCH(SUBSTITUTE(UPPER($T296)," ",""),'DM_NgheNghiep'!$C$2:$C$11)),1)),"Không tìm thấy"))</f>
        <v/>
      </c>
      <c r="AD296" s="5">
        <f>IF($U296="","",IFERROR(INDEX('DM_NoiCongTac'!$B$2:$B$11,AGGREGATE(15,6,ROW('DM_NoiCongTac'!$B$2:$B$11)-ROW('DM_NoiCongTac'!$B$2)+1/ISNUMBER(SEARCH(SUBSTITUTE(UPPER($U296)," ",""),'DM_NoiCongTac'!$C$2:$C$11)),1)),"Không tìm thấy"))</f>
        <v/>
      </c>
      <c r="AF296" s="5">
        <f>IF($V296="","",IFERROR(INDEX('DM_XaPhuong'!$B$2:$B$169,AGGREGATE(15,6,ROW('DM_XaPhuong'!$B$2:$B$169)-ROW('DM_XaPhuong'!$B$2)+1/ISNUMBER(SEARCH(SUBSTITUTE(UPPER($V296)," ",""),'DM_XaPhuong'!$C$2:$C$169)),1)),"Không tìm thấy"))</f>
        <v/>
      </c>
    </row>
    <row r="297">
      <c r="C297" s="5">
        <f>IF($B297="","",IFERROR(INDEX('DM_DoiTuong'!$B$2:$B$19,AGGREGATE(15,6,ROW('DM_DoiTuong'!$B$2:$B$19)-ROW('DM_DoiTuong'!$B$2)+1/ISNUMBER(SEARCH(SUBSTITUTE(UPPER($B297)," ",""),'DM_DoiTuong'!$C$2:$C$19)),1)),"Không tìm thấy"))</f>
        <v/>
      </c>
      <c r="E297" s="5">
        <f>IF($C297="","",IFERROR(INDEX('DM_DiaDiemKham'!$B$2:$B$6,AGGREGATE(15,6,ROW('DM_DiaDiemKham'!$B$2:$B$6)-ROW('DM_DiaDiemKham'!$B$2)+1/ISNUMBER(SEARCH(SUBSTITUTE(UPPER($C297)," ",""),'DM_DiaDiemKham'!$C$2:$C$6)),1)),"Không tìm thấy"))</f>
        <v/>
      </c>
      <c r="G297" s="5">
        <f>IF($D297="","",IFERROR(INDEX('DM_HinhThucChiTra'!$B$2:$B$5,AGGREGATE(15,6,ROW('DM_HinhThucChiTra'!$B$2:$B$5)-ROW('DM_HinhThucChiTra'!$B$2)+1/ISNUMBER(SEARCH(SUBSTITUTE(UPPER($D297)," ",""),'DM_HinhThucChiTra'!$C$2:$C$5)),1)),"Không tìm thấy"))</f>
        <v/>
      </c>
      <c r="I297" s="5">
        <f>IF($E297="","",IFERROR(INDEX('DM_HinhThucKham'!$B$2:$B$3,AGGREGATE(15,6,ROW('DM_HinhThucKham'!$B$2:$B$3)-ROW('DM_HinhThucKham'!$B$2)+1/ISNUMBER(SEARCH(SUBSTITUTE(UPPER($E297)," ",""),'DM_HinhThucKham'!$C$2:$C$3)),1)),"Không tìm thấy"))</f>
        <v/>
      </c>
      <c r="P297" s="5">
        <f>IF($K297="","",IFERROR(INDEX('DM_DanToc'!$B$2:$B$78,AGGREGATE(15,6,ROW('DM_DanToc'!$B$2:$B$78)-ROW('DM_DanToc'!$B$2)+1/ISNUMBER(SEARCH(SUBSTITUTE(UPPER($K297)," ",""),'DM_DanToc'!$C$2:$C$78)),1)),"Không tìm thấy"))</f>
        <v/>
      </c>
      <c r="W297" s="5">
        <f>IF($Q297="","",IFERROR(INDEX('DM_TinhThanh'!$B$2:$B$35,AGGREGATE(15,6,ROW('DM_TinhThanh'!$B$2:$B$35)-ROW('DM_TinhThanh'!$B$2)+1/ISNUMBER(SEARCH(SUBSTITUTE(UPPER($Q297)," ",""),'DM_TinhThanh'!$C$2:$C$35)),1)),"Không tìm thấy"))</f>
        <v/>
      </c>
      <c r="Y297" s="5">
        <f>IF($R297="","",IFERROR(INDEX('DM_XaPhuong'!$B$2:$B$169,AGGREGATE(15,6,ROW('DM_XaPhuong'!$B$2:$B$169)-ROW('DM_XaPhuong'!$B$2)+1/ISNUMBER(SEARCH(SUBSTITUTE(UPPER($R297)," ",""),'DM_XaPhuong'!$C$2:$C$169)),1)),"Không tìm thấy"))</f>
        <v/>
      </c>
      <c r="AB297" s="5">
        <f>IF($T297="","",IFERROR(INDEX('DM_NgheNghiep'!$B$2:$B$11,AGGREGATE(15,6,ROW('DM_NgheNghiep'!$B$2:$B$11)-ROW('DM_NgheNghiep'!$B$2)+1/ISNUMBER(SEARCH(SUBSTITUTE(UPPER($T297)," ",""),'DM_NgheNghiep'!$C$2:$C$11)),1)),"Không tìm thấy"))</f>
        <v/>
      </c>
      <c r="AD297" s="5">
        <f>IF($U297="","",IFERROR(INDEX('DM_NoiCongTac'!$B$2:$B$11,AGGREGATE(15,6,ROW('DM_NoiCongTac'!$B$2:$B$11)-ROW('DM_NoiCongTac'!$B$2)+1/ISNUMBER(SEARCH(SUBSTITUTE(UPPER($U297)," ",""),'DM_NoiCongTac'!$C$2:$C$11)),1)),"Không tìm thấy"))</f>
        <v/>
      </c>
      <c r="AF297" s="5">
        <f>IF($V297="","",IFERROR(INDEX('DM_XaPhuong'!$B$2:$B$169,AGGREGATE(15,6,ROW('DM_XaPhuong'!$B$2:$B$169)-ROW('DM_XaPhuong'!$B$2)+1/ISNUMBER(SEARCH(SUBSTITUTE(UPPER($V297)," ",""),'DM_XaPhuong'!$C$2:$C$169)),1)),"Không tìm thấy"))</f>
        <v/>
      </c>
    </row>
    <row r="298">
      <c r="C298" s="5">
        <f>IF($B298="","",IFERROR(INDEX('DM_DoiTuong'!$B$2:$B$19,AGGREGATE(15,6,ROW('DM_DoiTuong'!$B$2:$B$19)-ROW('DM_DoiTuong'!$B$2)+1/ISNUMBER(SEARCH(SUBSTITUTE(UPPER($B298)," ",""),'DM_DoiTuong'!$C$2:$C$19)),1)),"Không tìm thấy"))</f>
        <v/>
      </c>
      <c r="E298" s="5">
        <f>IF($C298="","",IFERROR(INDEX('DM_DiaDiemKham'!$B$2:$B$6,AGGREGATE(15,6,ROW('DM_DiaDiemKham'!$B$2:$B$6)-ROW('DM_DiaDiemKham'!$B$2)+1/ISNUMBER(SEARCH(SUBSTITUTE(UPPER($C298)," ",""),'DM_DiaDiemKham'!$C$2:$C$6)),1)),"Không tìm thấy"))</f>
        <v/>
      </c>
      <c r="G298" s="5">
        <f>IF($D298="","",IFERROR(INDEX('DM_HinhThucChiTra'!$B$2:$B$5,AGGREGATE(15,6,ROW('DM_HinhThucChiTra'!$B$2:$B$5)-ROW('DM_HinhThucChiTra'!$B$2)+1/ISNUMBER(SEARCH(SUBSTITUTE(UPPER($D298)," ",""),'DM_HinhThucChiTra'!$C$2:$C$5)),1)),"Không tìm thấy"))</f>
        <v/>
      </c>
      <c r="I298" s="5">
        <f>IF($E298="","",IFERROR(INDEX('DM_HinhThucKham'!$B$2:$B$3,AGGREGATE(15,6,ROW('DM_HinhThucKham'!$B$2:$B$3)-ROW('DM_HinhThucKham'!$B$2)+1/ISNUMBER(SEARCH(SUBSTITUTE(UPPER($E298)," ",""),'DM_HinhThucKham'!$C$2:$C$3)),1)),"Không tìm thấy"))</f>
        <v/>
      </c>
      <c r="P298" s="5">
        <f>IF($K298="","",IFERROR(INDEX('DM_DanToc'!$B$2:$B$78,AGGREGATE(15,6,ROW('DM_DanToc'!$B$2:$B$78)-ROW('DM_DanToc'!$B$2)+1/ISNUMBER(SEARCH(SUBSTITUTE(UPPER($K298)," ",""),'DM_DanToc'!$C$2:$C$78)),1)),"Không tìm thấy"))</f>
        <v/>
      </c>
      <c r="W298" s="5">
        <f>IF($Q298="","",IFERROR(INDEX('DM_TinhThanh'!$B$2:$B$35,AGGREGATE(15,6,ROW('DM_TinhThanh'!$B$2:$B$35)-ROW('DM_TinhThanh'!$B$2)+1/ISNUMBER(SEARCH(SUBSTITUTE(UPPER($Q298)," ",""),'DM_TinhThanh'!$C$2:$C$35)),1)),"Không tìm thấy"))</f>
        <v/>
      </c>
      <c r="Y298" s="5">
        <f>IF($R298="","",IFERROR(INDEX('DM_XaPhuong'!$B$2:$B$169,AGGREGATE(15,6,ROW('DM_XaPhuong'!$B$2:$B$169)-ROW('DM_XaPhuong'!$B$2)+1/ISNUMBER(SEARCH(SUBSTITUTE(UPPER($R298)," ",""),'DM_XaPhuong'!$C$2:$C$169)),1)),"Không tìm thấy"))</f>
        <v/>
      </c>
      <c r="AB298" s="5">
        <f>IF($T298="","",IFERROR(INDEX('DM_NgheNghiep'!$B$2:$B$11,AGGREGATE(15,6,ROW('DM_NgheNghiep'!$B$2:$B$11)-ROW('DM_NgheNghiep'!$B$2)+1/ISNUMBER(SEARCH(SUBSTITUTE(UPPER($T298)," ",""),'DM_NgheNghiep'!$C$2:$C$11)),1)),"Không tìm thấy"))</f>
        <v/>
      </c>
      <c r="AD298" s="5">
        <f>IF($U298="","",IFERROR(INDEX('DM_NoiCongTac'!$B$2:$B$11,AGGREGATE(15,6,ROW('DM_NoiCongTac'!$B$2:$B$11)-ROW('DM_NoiCongTac'!$B$2)+1/ISNUMBER(SEARCH(SUBSTITUTE(UPPER($U298)," ",""),'DM_NoiCongTac'!$C$2:$C$11)),1)),"Không tìm thấy"))</f>
        <v/>
      </c>
      <c r="AF298" s="5">
        <f>IF($V298="","",IFERROR(INDEX('DM_XaPhuong'!$B$2:$B$169,AGGREGATE(15,6,ROW('DM_XaPhuong'!$B$2:$B$169)-ROW('DM_XaPhuong'!$B$2)+1/ISNUMBER(SEARCH(SUBSTITUTE(UPPER($V298)," ",""),'DM_XaPhuong'!$C$2:$C$169)),1)),"Không tìm thấy"))</f>
        <v/>
      </c>
    </row>
    <row r="299">
      <c r="C299" s="5">
        <f>IF($B299="","",IFERROR(INDEX('DM_DoiTuong'!$B$2:$B$19,AGGREGATE(15,6,ROW('DM_DoiTuong'!$B$2:$B$19)-ROW('DM_DoiTuong'!$B$2)+1/ISNUMBER(SEARCH(SUBSTITUTE(UPPER($B299)," ",""),'DM_DoiTuong'!$C$2:$C$19)),1)),"Không tìm thấy"))</f>
        <v/>
      </c>
      <c r="E299" s="5">
        <f>IF($C299="","",IFERROR(INDEX('DM_DiaDiemKham'!$B$2:$B$6,AGGREGATE(15,6,ROW('DM_DiaDiemKham'!$B$2:$B$6)-ROW('DM_DiaDiemKham'!$B$2)+1/ISNUMBER(SEARCH(SUBSTITUTE(UPPER($C299)," ",""),'DM_DiaDiemKham'!$C$2:$C$6)),1)),"Không tìm thấy"))</f>
        <v/>
      </c>
      <c r="G299" s="5">
        <f>IF($D299="","",IFERROR(INDEX('DM_HinhThucChiTra'!$B$2:$B$5,AGGREGATE(15,6,ROW('DM_HinhThucChiTra'!$B$2:$B$5)-ROW('DM_HinhThucChiTra'!$B$2)+1/ISNUMBER(SEARCH(SUBSTITUTE(UPPER($D299)," ",""),'DM_HinhThucChiTra'!$C$2:$C$5)),1)),"Không tìm thấy"))</f>
        <v/>
      </c>
      <c r="I299" s="5">
        <f>IF($E299="","",IFERROR(INDEX('DM_HinhThucKham'!$B$2:$B$3,AGGREGATE(15,6,ROW('DM_HinhThucKham'!$B$2:$B$3)-ROW('DM_HinhThucKham'!$B$2)+1/ISNUMBER(SEARCH(SUBSTITUTE(UPPER($E299)," ",""),'DM_HinhThucKham'!$C$2:$C$3)),1)),"Không tìm thấy"))</f>
        <v/>
      </c>
      <c r="P299" s="5">
        <f>IF($K299="","",IFERROR(INDEX('DM_DanToc'!$B$2:$B$78,AGGREGATE(15,6,ROW('DM_DanToc'!$B$2:$B$78)-ROW('DM_DanToc'!$B$2)+1/ISNUMBER(SEARCH(SUBSTITUTE(UPPER($K299)," ",""),'DM_DanToc'!$C$2:$C$78)),1)),"Không tìm thấy"))</f>
        <v/>
      </c>
      <c r="W299" s="5">
        <f>IF($Q299="","",IFERROR(INDEX('DM_TinhThanh'!$B$2:$B$35,AGGREGATE(15,6,ROW('DM_TinhThanh'!$B$2:$B$35)-ROW('DM_TinhThanh'!$B$2)+1/ISNUMBER(SEARCH(SUBSTITUTE(UPPER($Q299)," ",""),'DM_TinhThanh'!$C$2:$C$35)),1)),"Không tìm thấy"))</f>
        <v/>
      </c>
      <c r="Y299" s="5">
        <f>IF($R299="","",IFERROR(INDEX('DM_XaPhuong'!$B$2:$B$169,AGGREGATE(15,6,ROW('DM_XaPhuong'!$B$2:$B$169)-ROW('DM_XaPhuong'!$B$2)+1/ISNUMBER(SEARCH(SUBSTITUTE(UPPER($R299)," ",""),'DM_XaPhuong'!$C$2:$C$169)),1)),"Không tìm thấy"))</f>
        <v/>
      </c>
      <c r="AB299" s="5">
        <f>IF($T299="","",IFERROR(INDEX('DM_NgheNghiep'!$B$2:$B$11,AGGREGATE(15,6,ROW('DM_NgheNghiep'!$B$2:$B$11)-ROW('DM_NgheNghiep'!$B$2)+1/ISNUMBER(SEARCH(SUBSTITUTE(UPPER($T299)," ",""),'DM_NgheNghiep'!$C$2:$C$11)),1)),"Không tìm thấy"))</f>
        <v/>
      </c>
      <c r="AD299" s="5">
        <f>IF($U299="","",IFERROR(INDEX('DM_NoiCongTac'!$B$2:$B$11,AGGREGATE(15,6,ROW('DM_NoiCongTac'!$B$2:$B$11)-ROW('DM_NoiCongTac'!$B$2)+1/ISNUMBER(SEARCH(SUBSTITUTE(UPPER($U299)," ",""),'DM_NoiCongTac'!$C$2:$C$11)),1)),"Không tìm thấy"))</f>
        <v/>
      </c>
      <c r="AF299" s="5">
        <f>IF($V299="","",IFERROR(INDEX('DM_XaPhuong'!$B$2:$B$169,AGGREGATE(15,6,ROW('DM_XaPhuong'!$B$2:$B$169)-ROW('DM_XaPhuong'!$B$2)+1/ISNUMBER(SEARCH(SUBSTITUTE(UPPER($V299)," ",""),'DM_XaPhuong'!$C$2:$C$169)),1)),"Không tìm thấy"))</f>
        <v/>
      </c>
    </row>
    <row r="300">
      <c r="C300" s="5">
        <f>IF($B300="","",IFERROR(INDEX('DM_DoiTuong'!$B$2:$B$19,AGGREGATE(15,6,ROW('DM_DoiTuong'!$B$2:$B$19)-ROW('DM_DoiTuong'!$B$2)+1/ISNUMBER(SEARCH(SUBSTITUTE(UPPER($B300)," ",""),'DM_DoiTuong'!$C$2:$C$19)),1)),"Không tìm thấy"))</f>
        <v/>
      </c>
      <c r="E300" s="5">
        <f>IF($C300="","",IFERROR(INDEX('DM_DiaDiemKham'!$B$2:$B$6,AGGREGATE(15,6,ROW('DM_DiaDiemKham'!$B$2:$B$6)-ROW('DM_DiaDiemKham'!$B$2)+1/ISNUMBER(SEARCH(SUBSTITUTE(UPPER($C300)," ",""),'DM_DiaDiemKham'!$C$2:$C$6)),1)),"Không tìm thấy"))</f>
        <v/>
      </c>
      <c r="G300" s="5">
        <f>IF($D300="","",IFERROR(INDEX('DM_HinhThucChiTra'!$B$2:$B$5,AGGREGATE(15,6,ROW('DM_HinhThucChiTra'!$B$2:$B$5)-ROW('DM_HinhThucChiTra'!$B$2)+1/ISNUMBER(SEARCH(SUBSTITUTE(UPPER($D300)," ",""),'DM_HinhThucChiTra'!$C$2:$C$5)),1)),"Không tìm thấy"))</f>
        <v/>
      </c>
      <c r="I300" s="5">
        <f>IF($E300="","",IFERROR(INDEX('DM_HinhThucKham'!$B$2:$B$3,AGGREGATE(15,6,ROW('DM_HinhThucKham'!$B$2:$B$3)-ROW('DM_HinhThucKham'!$B$2)+1/ISNUMBER(SEARCH(SUBSTITUTE(UPPER($E300)," ",""),'DM_HinhThucKham'!$C$2:$C$3)),1)),"Không tìm thấy"))</f>
        <v/>
      </c>
      <c r="P300" s="5">
        <f>IF($K300="","",IFERROR(INDEX('DM_DanToc'!$B$2:$B$78,AGGREGATE(15,6,ROW('DM_DanToc'!$B$2:$B$78)-ROW('DM_DanToc'!$B$2)+1/ISNUMBER(SEARCH(SUBSTITUTE(UPPER($K300)," ",""),'DM_DanToc'!$C$2:$C$78)),1)),"Không tìm thấy"))</f>
        <v/>
      </c>
      <c r="W300" s="5">
        <f>IF($Q300="","",IFERROR(INDEX('DM_TinhThanh'!$B$2:$B$35,AGGREGATE(15,6,ROW('DM_TinhThanh'!$B$2:$B$35)-ROW('DM_TinhThanh'!$B$2)+1/ISNUMBER(SEARCH(SUBSTITUTE(UPPER($Q300)," ",""),'DM_TinhThanh'!$C$2:$C$35)),1)),"Không tìm thấy"))</f>
        <v/>
      </c>
      <c r="Y300" s="5">
        <f>IF($R300="","",IFERROR(INDEX('DM_XaPhuong'!$B$2:$B$169,AGGREGATE(15,6,ROW('DM_XaPhuong'!$B$2:$B$169)-ROW('DM_XaPhuong'!$B$2)+1/ISNUMBER(SEARCH(SUBSTITUTE(UPPER($R300)," ",""),'DM_XaPhuong'!$C$2:$C$169)),1)),"Không tìm thấy"))</f>
        <v/>
      </c>
      <c r="AB300" s="5">
        <f>IF($T300="","",IFERROR(INDEX('DM_NgheNghiep'!$B$2:$B$11,AGGREGATE(15,6,ROW('DM_NgheNghiep'!$B$2:$B$11)-ROW('DM_NgheNghiep'!$B$2)+1/ISNUMBER(SEARCH(SUBSTITUTE(UPPER($T300)," ",""),'DM_NgheNghiep'!$C$2:$C$11)),1)),"Không tìm thấy"))</f>
        <v/>
      </c>
      <c r="AD300" s="5">
        <f>IF($U300="","",IFERROR(INDEX('DM_NoiCongTac'!$B$2:$B$11,AGGREGATE(15,6,ROW('DM_NoiCongTac'!$B$2:$B$11)-ROW('DM_NoiCongTac'!$B$2)+1/ISNUMBER(SEARCH(SUBSTITUTE(UPPER($U300)," ",""),'DM_NoiCongTac'!$C$2:$C$11)),1)),"Không tìm thấy"))</f>
        <v/>
      </c>
      <c r="AF300" s="5">
        <f>IF($V300="","",IFERROR(INDEX('DM_XaPhuong'!$B$2:$B$169,AGGREGATE(15,6,ROW('DM_XaPhuong'!$B$2:$B$169)-ROW('DM_XaPhuong'!$B$2)+1/ISNUMBER(SEARCH(SUBSTITUTE(UPPER($V300)," ",""),'DM_XaPhuong'!$C$2:$C$169)),1)),"Không tìm thấy"))</f>
        <v/>
      </c>
    </row>
    <row r="301">
      <c r="C301" s="5">
        <f>IF($B301="","",IFERROR(INDEX('DM_DoiTuong'!$B$2:$B$19,AGGREGATE(15,6,ROW('DM_DoiTuong'!$B$2:$B$19)-ROW('DM_DoiTuong'!$B$2)+1/ISNUMBER(SEARCH(SUBSTITUTE(UPPER($B301)," ",""),'DM_DoiTuong'!$C$2:$C$19)),1)),"Không tìm thấy"))</f>
        <v/>
      </c>
      <c r="E301" s="5">
        <f>IF($C301="","",IFERROR(INDEX('DM_DiaDiemKham'!$B$2:$B$6,AGGREGATE(15,6,ROW('DM_DiaDiemKham'!$B$2:$B$6)-ROW('DM_DiaDiemKham'!$B$2)+1/ISNUMBER(SEARCH(SUBSTITUTE(UPPER($C301)," ",""),'DM_DiaDiemKham'!$C$2:$C$6)),1)),"Không tìm thấy"))</f>
        <v/>
      </c>
      <c r="G301" s="5">
        <f>IF($D301="","",IFERROR(INDEX('DM_HinhThucChiTra'!$B$2:$B$5,AGGREGATE(15,6,ROW('DM_HinhThucChiTra'!$B$2:$B$5)-ROW('DM_HinhThucChiTra'!$B$2)+1/ISNUMBER(SEARCH(SUBSTITUTE(UPPER($D301)," ",""),'DM_HinhThucChiTra'!$C$2:$C$5)),1)),"Không tìm thấy"))</f>
        <v/>
      </c>
      <c r="I301" s="5">
        <f>IF($E301="","",IFERROR(INDEX('DM_HinhThucKham'!$B$2:$B$3,AGGREGATE(15,6,ROW('DM_HinhThucKham'!$B$2:$B$3)-ROW('DM_HinhThucKham'!$B$2)+1/ISNUMBER(SEARCH(SUBSTITUTE(UPPER($E301)," ",""),'DM_HinhThucKham'!$C$2:$C$3)),1)),"Không tìm thấy"))</f>
        <v/>
      </c>
      <c r="P301" s="5">
        <f>IF($K301="","",IFERROR(INDEX('DM_DanToc'!$B$2:$B$78,AGGREGATE(15,6,ROW('DM_DanToc'!$B$2:$B$78)-ROW('DM_DanToc'!$B$2)+1/ISNUMBER(SEARCH(SUBSTITUTE(UPPER($K301)," ",""),'DM_DanToc'!$C$2:$C$78)),1)),"Không tìm thấy"))</f>
        <v/>
      </c>
      <c r="W301" s="5">
        <f>IF($Q301="","",IFERROR(INDEX('DM_TinhThanh'!$B$2:$B$35,AGGREGATE(15,6,ROW('DM_TinhThanh'!$B$2:$B$35)-ROW('DM_TinhThanh'!$B$2)+1/ISNUMBER(SEARCH(SUBSTITUTE(UPPER($Q301)," ",""),'DM_TinhThanh'!$C$2:$C$35)),1)),"Không tìm thấy"))</f>
        <v/>
      </c>
      <c r="Y301" s="5">
        <f>IF($R301="","",IFERROR(INDEX('DM_XaPhuong'!$B$2:$B$169,AGGREGATE(15,6,ROW('DM_XaPhuong'!$B$2:$B$169)-ROW('DM_XaPhuong'!$B$2)+1/ISNUMBER(SEARCH(SUBSTITUTE(UPPER($R301)," ",""),'DM_XaPhuong'!$C$2:$C$169)),1)),"Không tìm thấy"))</f>
        <v/>
      </c>
      <c r="AB301" s="5">
        <f>IF($T301="","",IFERROR(INDEX('DM_NgheNghiep'!$B$2:$B$11,AGGREGATE(15,6,ROW('DM_NgheNghiep'!$B$2:$B$11)-ROW('DM_NgheNghiep'!$B$2)+1/ISNUMBER(SEARCH(SUBSTITUTE(UPPER($T301)," ",""),'DM_NgheNghiep'!$C$2:$C$11)),1)),"Không tìm thấy"))</f>
        <v/>
      </c>
      <c r="AD301" s="5">
        <f>IF($U301="","",IFERROR(INDEX('DM_NoiCongTac'!$B$2:$B$11,AGGREGATE(15,6,ROW('DM_NoiCongTac'!$B$2:$B$11)-ROW('DM_NoiCongTac'!$B$2)+1/ISNUMBER(SEARCH(SUBSTITUTE(UPPER($U301)," ",""),'DM_NoiCongTac'!$C$2:$C$11)),1)),"Không tìm thấy"))</f>
        <v/>
      </c>
      <c r="AF301" s="5">
        <f>IF($V301="","",IFERROR(INDEX('DM_XaPhuong'!$B$2:$B$169,AGGREGATE(15,6,ROW('DM_XaPhuong'!$B$2:$B$169)-ROW('DM_XaPhuong'!$B$2)+1/ISNUMBER(SEARCH(SUBSTITUTE(UPPER($V301)," ",""),'DM_XaPhuong'!$C$2:$C$169)),1)),"Không tìm thấy"))</f>
        <v/>
      </c>
    </row>
    <row r="302">
      <c r="C302" s="5">
        <f>IF($B302="","",IFERROR(INDEX('DM_DoiTuong'!$B$2:$B$19,AGGREGATE(15,6,ROW('DM_DoiTuong'!$B$2:$B$19)-ROW('DM_DoiTuong'!$B$2)+1/ISNUMBER(SEARCH(SUBSTITUTE(UPPER($B302)," ",""),'DM_DoiTuong'!$C$2:$C$19)),1)),"Không tìm thấy"))</f>
        <v/>
      </c>
      <c r="E302" s="5">
        <f>IF($C302="","",IFERROR(INDEX('DM_DiaDiemKham'!$B$2:$B$6,AGGREGATE(15,6,ROW('DM_DiaDiemKham'!$B$2:$B$6)-ROW('DM_DiaDiemKham'!$B$2)+1/ISNUMBER(SEARCH(SUBSTITUTE(UPPER($C302)," ",""),'DM_DiaDiemKham'!$C$2:$C$6)),1)),"Không tìm thấy"))</f>
        <v/>
      </c>
      <c r="G302" s="5">
        <f>IF($D302="","",IFERROR(INDEX('DM_HinhThucChiTra'!$B$2:$B$5,AGGREGATE(15,6,ROW('DM_HinhThucChiTra'!$B$2:$B$5)-ROW('DM_HinhThucChiTra'!$B$2)+1/ISNUMBER(SEARCH(SUBSTITUTE(UPPER($D302)," ",""),'DM_HinhThucChiTra'!$C$2:$C$5)),1)),"Không tìm thấy"))</f>
        <v/>
      </c>
      <c r="I302" s="5">
        <f>IF($E302="","",IFERROR(INDEX('DM_HinhThucKham'!$B$2:$B$3,AGGREGATE(15,6,ROW('DM_HinhThucKham'!$B$2:$B$3)-ROW('DM_HinhThucKham'!$B$2)+1/ISNUMBER(SEARCH(SUBSTITUTE(UPPER($E302)," ",""),'DM_HinhThucKham'!$C$2:$C$3)),1)),"Không tìm thấy"))</f>
        <v/>
      </c>
      <c r="P302" s="5">
        <f>IF($K302="","",IFERROR(INDEX('DM_DanToc'!$B$2:$B$78,AGGREGATE(15,6,ROW('DM_DanToc'!$B$2:$B$78)-ROW('DM_DanToc'!$B$2)+1/ISNUMBER(SEARCH(SUBSTITUTE(UPPER($K302)," ",""),'DM_DanToc'!$C$2:$C$78)),1)),"Không tìm thấy"))</f>
        <v/>
      </c>
      <c r="W302" s="5">
        <f>IF($Q302="","",IFERROR(INDEX('DM_TinhThanh'!$B$2:$B$35,AGGREGATE(15,6,ROW('DM_TinhThanh'!$B$2:$B$35)-ROW('DM_TinhThanh'!$B$2)+1/ISNUMBER(SEARCH(SUBSTITUTE(UPPER($Q302)," ",""),'DM_TinhThanh'!$C$2:$C$35)),1)),"Không tìm thấy"))</f>
        <v/>
      </c>
      <c r="Y302" s="5">
        <f>IF($R302="","",IFERROR(INDEX('DM_XaPhuong'!$B$2:$B$169,AGGREGATE(15,6,ROW('DM_XaPhuong'!$B$2:$B$169)-ROW('DM_XaPhuong'!$B$2)+1/ISNUMBER(SEARCH(SUBSTITUTE(UPPER($R302)," ",""),'DM_XaPhuong'!$C$2:$C$169)),1)),"Không tìm thấy"))</f>
        <v/>
      </c>
      <c r="AB302" s="5">
        <f>IF($T302="","",IFERROR(INDEX('DM_NgheNghiep'!$B$2:$B$11,AGGREGATE(15,6,ROW('DM_NgheNghiep'!$B$2:$B$11)-ROW('DM_NgheNghiep'!$B$2)+1/ISNUMBER(SEARCH(SUBSTITUTE(UPPER($T302)," ",""),'DM_NgheNghiep'!$C$2:$C$11)),1)),"Không tìm thấy"))</f>
        <v/>
      </c>
      <c r="AD302" s="5">
        <f>IF($U302="","",IFERROR(INDEX('DM_NoiCongTac'!$B$2:$B$11,AGGREGATE(15,6,ROW('DM_NoiCongTac'!$B$2:$B$11)-ROW('DM_NoiCongTac'!$B$2)+1/ISNUMBER(SEARCH(SUBSTITUTE(UPPER($U302)," ",""),'DM_NoiCongTac'!$C$2:$C$11)),1)),"Không tìm thấy"))</f>
        <v/>
      </c>
      <c r="AF302" s="5">
        <f>IF($V302="","",IFERROR(INDEX('DM_XaPhuong'!$B$2:$B$169,AGGREGATE(15,6,ROW('DM_XaPhuong'!$B$2:$B$169)-ROW('DM_XaPhuong'!$B$2)+1/ISNUMBER(SEARCH(SUBSTITUTE(UPPER($V302)," ",""),'DM_XaPhuong'!$C$2:$C$169)),1)),"Không tìm thấy"))</f>
        <v/>
      </c>
    </row>
    <row r="303">
      <c r="C303" s="5">
        <f>IF($B303="","",IFERROR(INDEX('DM_DoiTuong'!$B$2:$B$19,AGGREGATE(15,6,ROW('DM_DoiTuong'!$B$2:$B$19)-ROW('DM_DoiTuong'!$B$2)+1/ISNUMBER(SEARCH(SUBSTITUTE(UPPER($B303)," ",""),'DM_DoiTuong'!$C$2:$C$19)),1)),"Không tìm thấy"))</f>
        <v/>
      </c>
      <c r="E303" s="5">
        <f>IF($C303="","",IFERROR(INDEX('DM_DiaDiemKham'!$B$2:$B$6,AGGREGATE(15,6,ROW('DM_DiaDiemKham'!$B$2:$B$6)-ROW('DM_DiaDiemKham'!$B$2)+1/ISNUMBER(SEARCH(SUBSTITUTE(UPPER($C303)," ",""),'DM_DiaDiemKham'!$C$2:$C$6)),1)),"Không tìm thấy"))</f>
        <v/>
      </c>
      <c r="G303" s="5">
        <f>IF($D303="","",IFERROR(INDEX('DM_HinhThucChiTra'!$B$2:$B$5,AGGREGATE(15,6,ROW('DM_HinhThucChiTra'!$B$2:$B$5)-ROW('DM_HinhThucChiTra'!$B$2)+1/ISNUMBER(SEARCH(SUBSTITUTE(UPPER($D303)," ",""),'DM_HinhThucChiTra'!$C$2:$C$5)),1)),"Không tìm thấy"))</f>
        <v/>
      </c>
      <c r="I303" s="5">
        <f>IF($E303="","",IFERROR(INDEX('DM_HinhThucKham'!$B$2:$B$3,AGGREGATE(15,6,ROW('DM_HinhThucKham'!$B$2:$B$3)-ROW('DM_HinhThucKham'!$B$2)+1/ISNUMBER(SEARCH(SUBSTITUTE(UPPER($E303)," ",""),'DM_HinhThucKham'!$C$2:$C$3)),1)),"Không tìm thấy"))</f>
        <v/>
      </c>
      <c r="P303" s="5">
        <f>IF($K303="","",IFERROR(INDEX('DM_DanToc'!$B$2:$B$78,AGGREGATE(15,6,ROW('DM_DanToc'!$B$2:$B$78)-ROW('DM_DanToc'!$B$2)+1/ISNUMBER(SEARCH(SUBSTITUTE(UPPER($K303)," ",""),'DM_DanToc'!$C$2:$C$78)),1)),"Không tìm thấy"))</f>
        <v/>
      </c>
      <c r="W303" s="5">
        <f>IF($Q303="","",IFERROR(INDEX('DM_TinhThanh'!$B$2:$B$35,AGGREGATE(15,6,ROW('DM_TinhThanh'!$B$2:$B$35)-ROW('DM_TinhThanh'!$B$2)+1/ISNUMBER(SEARCH(SUBSTITUTE(UPPER($Q303)," ",""),'DM_TinhThanh'!$C$2:$C$35)),1)),"Không tìm thấy"))</f>
        <v/>
      </c>
      <c r="Y303" s="5">
        <f>IF($R303="","",IFERROR(INDEX('DM_XaPhuong'!$B$2:$B$169,AGGREGATE(15,6,ROW('DM_XaPhuong'!$B$2:$B$169)-ROW('DM_XaPhuong'!$B$2)+1/ISNUMBER(SEARCH(SUBSTITUTE(UPPER($R303)," ",""),'DM_XaPhuong'!$C$2:$C$169)),1)),"Không tìm thấy"))</f>
        <v/>
      </c>
      <c r="AB303" s="5">
        <f>IF($T303="","",IFERROR(INDEX('DM_NgheNghiep'!$B$2:$B$11,AGGREGATE(15,6,ROW('DM_NgheNghiep'!$B$2:$B$11)-ROW('DM_NgheNghiep'!$B$2)+1/ISNUMBER(SEARCH(SUBSTITUTE(UPPER($T303)," ",""),'DM_NgheNghiep'!$C$2:$C$11)),1)),"Không tìm thấy"))</f>
        <v/>
      </c>
      <c r="AD303" s="5">
        <f>IF($U303="","",IFERROR(INDEX('DM_NoiCongTac'!$B$2:$B$11,AGGREGATE(15,6,ROW('DM_NoiCongTac'!$B$2:$B$11)-ROW('DM_NoiCongTac'!$B$2)+1/ISNUMBER(SEARCH(SUBSTITUTE(UPPER($U303)," ",""),'DM_NoiCongTac'!$C$2:$C$11)),1)),"Không tìm thấy"))</f>
        <v/>
      </c>
      <c r="AF303" s="5">
        <f>IF($V303="","",IFERROR(INDEX('DM_XaPhuong'!$B$2:$B$169,AGGREGATE(15,6,ROW('DM_XaPhuong'!$B$2:$B$169)-ROW('DM_XaPhuong'!$B$2)+1/ISNUMBER(SEARCH(SUBSTITUTE(UPPER($V303)," ",""),'DM_XaPhuong'!$C$2:$C$169)),1)),"Không tìm thấy"))</f>
        <v/>
      </c>
    </row>
    <row r="304">
      <c r="C304" s="5">
        <f>IF($B304="","",IFERROR(INDEX('DM_DoiTuong'!$B$2:$B$19,AGGREGATE(15,6,ROW('DM_DoiTuong'!$B$2:$B$19)-ROW('DM_DoiTuong'!$B$2)+1/ISNUMBER(SEARCH(SUBSTITUTE(UPPER($B304)," ",""),'DM_DoiTuong'!$C$2:$C$19)),1)),"Không tìm thấy"))</f>
        <v/>
      </c>
      <c r="E304" s="5">
        <f>IF($C304="","",IFERROR(INDEX('DM_DiaDiemKham'!$B$2:$B$6,AGGREGATE(15,6,ROW('DM_DiaDiemKham'!$B$2:$B$6)-ROW('DM_DiaDiemKham'!$B$2)+1/ISNUMBER(SEARCH(SUBSTITUTE(UPPER($C304)," ",""),'DM_DiaDiemKham'!$C$2:$C$6)),1)),"Không tìm thấy"))</f>
        <v/>
      </c>
      <c r="G304" s="5">
        <f>IF($D304="","",IFERROR(INDEX('DM_HinhThucChiTra'!$B$2:$B$5,AGGREGATE(15,6,ROW('DM_HinhThucChiTra'!$B$2:$B$5)-ROW('DM_HinhThucChiTra'!$B$2)+1/ISNUMBER(SEARCH(SUBSTITUTE(UPPER($D304)," ",""),'DM_HinhThucChiTra'!$C$2:$C$5)),1)),"Không tìm thấy"))</f>
        <v/>
      </c>
      <c r="I304" s="5">
        <f>IF($E304="","",IFERROR(INDEX('DM_HinhThucKham'!$B$2:$B$3,AGGREGATE(15,6,ROW('DM_HinhThucKham'!$B$2:$B$3)-ROW('DM_HinhThucKham'!$B$2)+1/ISNUMBER(SEARCH(SUBSTITUTE(UPPER($E304)," ",""),'DM_HinhThucKham'!$C$2:$C$3)),1)),"Không tìm thấy"))</f>
        <v/>
      </c>
      <c r="P304" s="5">
        <f>IF($K304="","",IFERROR(INDEX('DM_DanToc'!$B$2:$B$78,AGGREGATE(15,6,ROW('DM_DanToc'!$B$2:$B$78)-ROW('DM_DanToc'!$B$2)+1/ISNUMBER(SEARCH(SUBSTITUTE(UPPER($K304)," ",""),'DM_DanToc'!$C$2:$C$78)),1)),"Không tìm thấy"))</f>
        <v/>
      </c>
      <c r="W304" s="5">
        <f>IF($Q304="","",IFERROR(INDEX('DM_TinhThanh'!$B$2:$B$35,AGGREGATE(15,6,ROW('DM_TinhThanh'!$B$2:$B$35)-ROW('DM_TinhThanh'!$B$2)+1/ISNUMBER(SEARCH(SUBSTITUTE(UPPER($Q304)," ",""),'DM_TinhThanh'!$C$2:$C$35)),1)),"Không tìm thấy"))</f>
        <v/>
      </c>
      <c r="Y304" s="5">
        <f>IF($R304="","",IFERROR(INDEX('DM_XaPhuong'!$B$2:$B$169,AGGREGATE(15,6,ROW('DM_XaPhuong'!$B$2:$B$169)-ROW('DM_XaPhuong'!$B$2)+1/ISNUMBER(SEARCH(SUBSTITUTE(UPPER($R304)," ",""),'DM_XaPhuong'!$C$2:$C$169)),1)),"Không tìm thấy"))</f>
        <v/>
      </c>
      <c r="AB304" s="5">
        <f>IF($T304="","",IFERROR(INDEX('DM_NgheNghiep'!$B$2:$B$11,AGGREGATE(15,6,ROW('DM_NgheNghiep'!$B$2:$B$11)-ROW('DM_NgheNghiep'!$B$2)+1/ISNUMBER(SEARCH(SUBSTITUTE(UPPER($T304)," ",""),'DM_NgheNghiep'!$C$2:$C$11)),1)),"Không tìm thấy"))</f>
        <v/>
      </c>
      <c r="AD304" s="5">
        <f>IF($U304="","",IFERROR(INDEX('DM_NoiCongTac'!$B$2:$B$11,AGGREGATE(15,6,ROW('DM_NoiCongTac'!$B$2:$B$11)-ROW('DM_NoiCongTac'!$B$2)+1/ISNUMBER(SEARCH(SUBSTITUTE(UPPER($U304)," ",""),'DM_NoiCongTac'!$C$2:$C$11)),1)),"Không tìm thấy"))</f>
        <v/>
      </c>
      <c r="AF304" s="5">
        <f>IF($V304="","",IFERROR(INDEX('DM_XaPhuong'!$B$2:$B$169,AGGREGATE(15,6,ROW('DM_XaPhuong'!$B$2:$B$169)-ROW('DM_XaPhuong'!$B$2)+1/ISNUMBER(SEARCH(SUBSTITUTE(UPPER($V304)," ",""),'DM_XaPhuong'!$C$2:$C$169)),1)),"Không tìm thấy"))</f>
        <v/>
      </c>
    </row>
    <row r="305">
      <c r="C305" s="5">
        <f>IF($B305="","",IFERROR(INDEX('DM_DoiTuong'!$B$2:$B$19,AGGREGATE(15,6,ROW('DM_DoiTuong'!$B$2:$B$19)-ROW('DM_DoiTuong'!$B$2)+1/ISNUMBER(SEARCH(SUBSTITUTE(UPPER($B305)," ",""),'DM_DoiTuong'!$C$2:$C$19)),1)),"Không tìm thấy"))</f>
        <v/>
      </c>
      <c r="E305" s="5">
        <f>IF($C305="","",IFERROR(INDEX('DM_DiaDiemKham'!$B$2:$B$6,AGGREGATE(15,6,ROW('DM_DiaDiemKham'!$B$2:$B$6)-ROW('DM_DiaDiemKham'!$B$2)+1/ISNUMBER(SEARCH(SUBSTITUTE(UPPER($C305)," ",""),'DM_DiaDiemKham'!$C$2:$C$6)),1)),"Không tìm thấy"))</f>
        <v/>
      </c>
      <c r="G305" s="5">
        <f>IF($D305="","",IFERROR(INDEX('DM_HinhThucChiTra'!$B$2:$B$5,AGGREGATE(15,6,ROW('DM_HinhThucChiTra'!$B$2:$B$5)-ROW('DM_HinhThucChiTra'!$B$2)+1/ISNUMBER(SEARCH(SUBSTITUTE(UPPER($D305)," ",""),'DM_HinhThucChiTra'!$C$2:$C$5)),1)),"Không tìm thấy"))</f>
        <v/>
      </c>
      <c r="I305" s="5">
        <f>IF($E305="","",IFERROR(INDEX('DM_HinhThucKham'!$B$2:$B$3,AGGREGATE(15,6,ROW('DM_HinhThucKham'!$B$2:$B$3)-ROW('DM_HinhThucKham'!$B$2)+1/ISNUMBER(SEARCH(SUBSTITUTE(UPPER($E305)," ",""),'DM_HinhThucKham'!$C$2:$C$3)),1)),"Không tìm thấy"))</f>
        <v/>
      </c>
      <c r="P305" s="5">
        <f>IF($K305="","",IFERROR(INDEX('DM_DanToc'!$B$2:$B$78,AGGREGATE(15,6,ROW('DM_DanToc'!$B$2:$B$78)-ROW('DM_DanToc'!$B$2)+1/ISNUMBER(SEARCH(SUBSTITUTE(UPPER($K305)," ",""),'DM_DanToc'!$C$2:$C$78)),1)),"Không tìm thấy"))</f>
        <v/>
      </c>
      <c r="W305" s="5">
        <f>IF($Q305="","",IFERROR(INDEX('DM_TinhThanh'!$B$2:$B$35,AGGREGATE(15,6,ROW('DM_TinhThanh'!$B$2:$B$35)-ROW('DM_TinhThanh'!$B$2)+1/ISNUMBER(SEARCH(SUBSTITUTE(UPPER($Q305)," ",""),'DM_TinhThanh'!$C$2:$C$35)),1)),"Không tìm thấy"))</f>
        <v/>
      </c>
      <c r="Y305" s="5">
        <f>IF($R305="","",IFERROR(INDEX('DM_XaPhuong'!$B$2:$B$169,AGGREGATE(15,6,ROW('DM_XaPhuong'!$B$2:$B$169)-ROW('DM_XaPhuong'!$B$2)+1/ISNUMBER(SEARCH(SUBSTITUTE(UPPER($R305)," ",""),'DM_XaPhuong'!$C$2:$C$169)),1)),"Không tìm thấy"))</f>
        <v/>
      </c>
      <c r="AB305" s="5">
        <f>IF($T305="","",IFERROR(INDEX('DM_NgheNghiep'!$B$2:$B$11,AGGREGATE(15,6,ROW('DM_NgheNghiep'!$B$2:$B$11)-ROW('DM_NgheNghiep'!$B$2)+1/ISNUMBER(SEARCH(SUBSTITUTE(UPPER($T305)," ",""),'DM_NgheNghiep'!$C$2:$C$11)),1)),"Không tìm thấy"))</f>
        <v/>
      </c>
      <c r="AD305" s="5">
        <f>IF($U305="","",IFERROR(INDEX('DM_NoiCongTac'!$B$2:$B$11,AGGREGATE(15,6,ROW('DM_NoiCongTac'!$B$2:$B$11)-ROW('DM_NoiCongTac'!$B$2)+1/ISNUMBER(SEARCH(SUBSTITUTE(UPPER($U305)," ",""),'DM_NoiCongTac'!$C$2:$C$11)),1)),"Không tìm thấy"))</f>
        <v/>
      </c>
      <c r="AF305" s="5">
        <f>IF($V305="","",IFERROR(INDEX('DM_XaPhuong'!$B$2:$B$169,AGGREGATE(15,6,ROW('DM_XaPhuong'!$B$2:$B$169)-ROW('DM_XaPhuong'!$B$2)+1/ISNUMBER(SEARCH(SUBSTITUTE(UPPER($V305)," ",""),'DM_XaPhuong'!$C$2:$C$169)),1)),"Không tìm thấy"))</f>
        <v/>
      </c>
    </row>
    <row r="306">
      <c r="C306" s="5">
        <f>IF($B306="","",IFERROR(INDEX('DM_DoiTuong'!$B$2:$B$19,AGGREGATE(15,6,ROW('DM_DoiTuong'!$B$2:$B$19)-ROW('DM_DoiTuong'!$B$2)+1/ISNUMBER(SEARCH(SUBSTITUTE(UPPER($B306)," ",""),'DM_DoiTuong'!$C$2:$C$19)),1)),"Không tìm thấy"))</f>
        <v/>
      </c>
      <c r="E306" s="5">
        <f>IF($C306="","",IFERROR(INDEX('DM_DiaDiemKham'!$B$2:$B$6,AGGREGATE(15,6,ROW('DM_DiaDiemKham'!$B$2:$B$6)-ROW('DM_DiaDiemKham'!$B$2)+1/ISNUMBER(SEARCH(SUBSTITUTE(UPPER($C306)," ",""),'DM_DiaDiemKham'!$C$2:$C$6)),1)),"Không tìm thấy"))</f>
        <v/>
      </c>
      <c r="G306" s="5">
        <f>IF($D306="","",IFERROR(INDEX('DM_HinhThucChiTra'!$B$2:$B$5,AGGREGATE(15,6,ROW('DM_HinhThucChiTra'!$B$2:$B$5)-ROW('DM_HinhThucChiTra'!$B$2)+1/ISNUMBER(SEARCH(SUBSTITUTE(UPPER($D306)," ",""),'DM_HinhThucChiTra'!$C$2:$C$5)),1)),"Không tìm thấy"))</f>
        <v/>
      </c>
      <c r="I306" s="5">
        <f>IF($E306="","",IFERROR(INDEX('DM_HinhThucKham'!$B$2:$B$3,AGGREGATE(15,6,ROW('DM_HinhThucKham'!$B$2:$B$3)-ROW('DM_HinhThucKham'!$B$2)+1/ISNUMBER(SEARCH(SUBSTITUTE(UPPER($E306)," ",""),'DM_HinhThucKham'!$C$2:$C$3)),1)),"Không tìm thấy"))</f>
        <v/>
      </c>
      <c r="P306" s="5">
        <f>IF($K306="","",IFERROR(INDEX('DM_DanToc'!$B$2:$B$78,AGGREGATE(15,6,ROW('DM_DanToc'!$B$2:$B$78)-ROW('DM_DanToc'!$B$2)+1/ISNUMBER(SEARCH(SUBSTITUTE(UPPER($K306)," ",""),'DM_DanToc'!$C$2:$C$78)),1)),"Không tìm thấy"))</f>
        <v/>
      </c>
      <c r="W306" s="5">
        <f>IF($Q306="","",IFERROR(INDEX('DM_TinhThanh'!$B$2:$B$35,AGGREGATE(15,6,ROW('DM_TinhThanh'!$B$2:$B$35)-ROW('DM_TinhThanh'!$B$2)+1/ISNUMBER(SEARCH(SUBSTITUTE(UPPER($Q306)," ",""),'DM_TinhThanh'!$C$2:$C$35)),1)),"Không tìm thấy"))</f>
        <v/>
      </c>
      <c r="Y306" s="5">
        <f>IF($R306="","",IFERROR(INDEX('DM_XaPhuong'!$B$2:$B$169,AGGREGATE(15,6,ROW('DM_XaPhuong'!$B$2:$B$169)-ROW('DM_XaPhuong'!$B$2)+1/ISNUMBER(SEARCH(SUBSTITUTE(UPPER($R306)," ",""),'DM_XaPhuong'!$C$2:$C$169)),1)),"Không tìm thấy"))</f>
        <v/>
      </c>
      <c r="AB306" s="5">
        <f>IF($T306="","",IFERROR(INDEX('DM_NgheNghiep'!$B$2:$B$11,AGGREGATE(15,6,ROW('DM_NgheNghiep'!$B$2:$B$11)-ROW('DM_NgheNghiep'!$B$2)+1/ISNUMBER(SEARCH(SUBSTITUTE(UPPER($T306)," ",""),'DM_NgheNghiep'!$C$2:$C$11)),1)),"Không tìm thấy"))</f>
        <v/>
      </c>
      <c r="AD306" s="5">
        <f>IF($U306="","",IFERROR(INDEX('DM_NoiCongTac'!$B$2:$B$11,AGGREGATE(15,6,ROW('DM_NoiCongTac'!$B$2:$B$11)-ROW('DM_NoiCongTac'!$B$2)+1/ISNUMBER(SEARCH(SUBSTITUTE(UPPER($U306)," ",""),'DM_NoiCongTac'!$C$2:$C$11)),1)),"Không tìm thấy"))</f>
        <v/>
      </c>
      <c r="AF306" s="5">
        <f>IF($V306="","",IFERROR(INDEX('DM_XaPhuong'!$B$2:$B$169,AGGREGATE(15,6,ROW('DM_XaPhuong'!$B$2:$B$169)-ROW('DM_XaPhuong'!$B$2)+1/ISNUMBER(SEARCH(SUBSTITUTE(UPPER($V306)," ",""),'DM_XaPhuong'!$C$2:$C$169)),1)),"Không tìm thấy"))</f>
        <v/>
      </c>
    </row>
    <row r="307">
      <c r="C307" s="5">
        <f>IF($B307="","",IFERROR(INDEX('DM_DoiTuong'!$B$2:$B$19,AGGREGATE(15,6,ROW('DM_DoiTuong'!$B$2:$B$19)-ROW('DM_DoiTuong'!$B$2)+1/ISNUMBER(SEARCH(SUBSTITUTE(UPPER($B307)," ",""),'DM_DoiTuong'!$C$2:$C$19)),1)),"Không tìm thấy"))</f>
        <v/>
      </c>
      <c r="E307" s="5">
        <f>IF($C307="","",IFERROR(INDEX('DM_DiaDiemKham'!$B$2:$B$6,AGGREGATE(15,6,ROW('DM_DiaDiemKham'!$B$2:$B$6)-ROW('DM_DiaDiemKham'!$B$2)+1/ISNUMBER(SEARCH(SUBSTITUTE(UPPER($C307)," ",""),'DM_DiaDiemKham'!$C$2:$C$6)),1)),"Không tìm thấy"))</f>
        <v/>
      </c>
      <c r="G307" s="5">
        <f>IF($D307="","",IFERROR(INDEX('DM_HinhThucChiTra'!$B$2:$B$5,AGGREGATE(15,6,ROW('DM_HinhThucChiTra'!$B$2:$B$5)-ROW('DM_HinhThucChiTra'!$B$2)+1/ISNUMBER(SEARCH(SUBSTITUTE(UPPER($D307)," ",""),'DM_HinhThucChiTra'!$C$2:$C$5)),1)),"Không tìm thấy"))</f>
        <v/>
      </c>
      <c r="I307" s="5">
        <f>IF($E307="","",IFERROR(INDEX('DM_HinhThucKham'!$B$2:$B$3,AGGREGATE(15,6,ROW('DM_HinhThucKham'!$B$2:$B$3)-ROW('DM_HinhThucKham'!$B$2)+1/ISNUMBER(SEARCH(SUBSTITUTE(UPPER($E307)," ",""),'DM_HinhThucKham'!$C$2:$C$3)),1)),"Không tìm thấy"))</f>
        <v/>
      </c>
      <c r="P307" s="5">
        <f>IF($K307="","",IFERROR(INDEX('DM_DanToc'!$B$2:$B$78,AGGREGATE(15,6,ROW('DM_DanToc'!$B$2:$B$78)-ROW('DM_DanToc'!$B$2)+1/ISNUMBER(SEARCH(SUBSTITUTE(UPPER($K307)," ",""),'DM_DanToc'!$C$2:$C$78)),1)),"Không tìm thấy"))</f>
        <v/>
      </c>
      <c r="W307" s="5">
        <f>IF($Q307="","",IFERROR(INDEX('DM_TinhThanh'!$B$2:$B$35,AGGREGATE(15,6,ROW('DM_TinhThanh'!$B$2:$B$35)-ROW('DM_TinhThanh'!$B$2)+1/ISNUMBER(SEARCH(SUBSTITUTE(UPPER($Q307)," ",""),'DM_TinhThanh'!$C$2:$C$35)),1)),"Không tìm thấy"))</f>
        <v/>
      </c>
      <c r="Y307" s="5">
        <f>IF($R307="","",IFERROR(INDEX('DM_XaPhuong'!$B$2:$B$169,AGGREGATE(15,6,ROW('DM_XaPhuong'!$B$2:$B$169)-ROW('DM_XaPhuong'!$B$2)+1/ISNUMBER(SEARCH(SUBSTITUTE(UPPER($R307)," ",""),'DM_XaPhuong'!$C$2:$C$169)),1)),"Không tìm thấy"))</f>
        <v/>
      </c>
      <c r="AB307" s="5">
        <f>IF($T307="","",IFERROR(INDEX('DM_NgheNghiep'!$B$2:$B$11,AGGREGATE(15,6,ROW('DM_NgheNghiep'!$B$2:$B$11)-ROW('DM_NgheNghiep'!$B$2)+1/ISNUMBER(SEARCH(SUBSTITUTE(UPPER($T307)," ",""),'DM_NgheNghiep'!$C$2:$C$11)),1)),"Không tìm thấy"))</f>
        <v/>
      </c>
      <c r="AD307" s="5">
        <f>IF($U307="","",IFERROR(INDEX('DM_NoiCongTac'!$B$2:$B$11,AGGREGATE(15,6,ROW('DM_NoiCongTac'!$B$2:$B$11)-ROW('DM_NoiCongTac'!$B$2)+1/ISNUMBER(SEARCH(SUBSTITUTE(UPPER($U307)," ",""),'DM_NoiCongTac'!$C$2:$C$11)),1)),"Không tìm thấy"))</f>
        <v/>
      </c>
      <c r="AF307" s="5">
        <f>IF($V307="","",IFERROR(INDEX('DM_XaPhuong'!$B$2:$B$169,AGGREGATE(15,6,ROW('DM_XaPhuong'!$B$2:$B$169)-ROW('DM_XaPhuong'!$B$2)+1/ISNUMBER(SEARCH(SUBSTITUTE(UPPER($V307)," ",""),'DM_XaPhuong'!$C$2:$C$169)),1)),"Không tìm thấy"))</f>
        <v/>
      </c>
    </row>
    <row r="308">
      <c r="C308" s="5">
        <f>IF($B308="","",IFERROR(INDEX('DM_DoiTuong'!$B$2:$B$19,AGGREGATE(15,6,ROW('DM_DoiTuong'!$B$2:$B$19)-ROW('DM_DoiTuong'!$B$2)+1/ISNUMBER(SEARCH(SUBSTITUTE(UPPER($B308)," ",""),'DM_DoiTuong'!$C$2:$C$19)),1)),"Không tìm thấy"))</f>
        <v/>
      </c>
      <c r="E308" s="5">
        <f>IF($C308="","",IFERROR(INDEX('DM_DiaDiemKham'!$B$2:$B$6,AGGREGATE(15,6,ROW('DM_DiaDiemKham'!$B$2:$B$6)-ROW('DM_DiaDiemKham'!$B$2)+1/ISNUMBER(SEARCH(SUBSTITUTE(UPPER($C308)," ",""),'DM_DiaDiemKham'!$C$2:$C$6)),1)),"Không tìm thấy"))</f>
        <v/>
      </c>
      <c r="G308" s="5">
        <f>IF($D308="","",IFERROR(INDEX('DM_HinhThucChiTra'!$B$2:$B$5,AGGREGATE(15,6,ROW('DM_HinhThucChiTra'!$B$2:$B$5)-ROW('DM_HinhThucChiTra'!$B$2)+1/ISNUMBER(SEARCH(SUBSTITUTE(UPPER($D308)," ",""),'DM_HinhThucChiTra'!$C$2:$C$5)),1)),"Không tìm thấy"))</f>
        <v/>
      </c>
      <c r="I308" s="5">
        <f>IF($E308="","",IFERROR(INDEX('DM_HinhThucKham'!$B$2:$B$3,AGGREGATE(15,6,ROW('DM_HinhThucKham'!$B$2:$B$3)-ROW('DM_HinhThucKham'!$B$2)+1/ISNUMBER(SEARCH(SUBSTITUTE(UPPER($E308)," ",""),'DM_HinhThucKham'!$C$2:$C$3)),1)),"Không tìm thấy"))</f>
        <v/>
      </c>
      <c r="P308" s="5">
        <f>IF($K308="","",IFERROR(INDEX('DM_DanToc'!$B$2:$B$78,AGGREGATE(15,6,ROW('DM_DanToc'!$B$2:$B$78)-ROW('DM_DanToc'!$B$2)+1/ISNUMBER(SEARCH(SUBSTITUTE(UPPER($K308)," ",""),'DM_DanToc'!$C$2:$C$78)),1)),"Không tìm thấy"))</f>
        <v/>
      </c>
      <c r="W308" s="5">
        <f>IF($Q308="","",IFERROR(INDEX('DM_TinhThanh'!$B$2:$B$35,AGGREGATE(15,6,ROW('DM_TinhThanh'!$B$2:$B$35)-ROW('DM_TinhThanh'!$B$2)+1/ISNUMBER(SEARCH(SUBSTITUTE(UPPER($Q308)," ",""),'DM_TinhThanh'!$C$2:$C$35)),1)),"Không tìm thấy"))</f>
        <v/>
      </c>
      <c r="Y308" s="5">
        <f>IF($R308="","",IFERROR(INDEX('DM_XaPhuong'!$B$2:$B$169,AGGREGATE(15,6,ROW('DM_XaPhuong'!$B$2:$B$169)-ROW('DM_XaPhuong'!$B$2)+1/ISNUMBER(SEARCH(SUBSTITUTE(UPPER($R308)," ",""),'DM_XaPhuong'!$C$2:$C$169)),1)),"Không tìm thấy"))</f>
        <v/>
      </c>
      <c r="AB308" s="5">
        <f>IF($T308="","",IFERROR(INDEX('DM_NgheNghiep'!$B$2:$B$11,AGGREGATE(15,6,ROW('DM_NgheNghiep'!$B$2:$B$11)-ROW('DM_NgheNghiep'!$B$2)+1/ISNUMBER(SEARCH(SUBSTITUTE(UPPER($T308)," ",""),'DM_NgheNghiep'!$C$2:$C$11)),1)),"Không tìm thấy"))</f>
        <v/>
      </c>
      <c r="AD308" s="5">
        <f>IF($U308="","",IFERROR(INDEX('DM_NoiCongTac'!$B$2:$B$11,AGGREGATE(15,6,ROW('DM_NoiCongTac'!$B$2:$B$11)-ROW('DM_NoiCongTac'!$B$2)+1/ISNUMBER(SEARCH(SUBSTITUTE(UPPER($U308)," ",""),'DM_NoiCongTac'!$C$2:$C$11)),1)),"Không tìm thấy"))</f>
        <v/>
      </c>
      <c r="AF308" s="5">
        <f>IF($V308="","",IFERROR(INDEX('DM_XaPhuong'!$B$2:$B$169,AGGREGATE(15,6,ROW('DM_XaPhuong'!$B$2:$B$169)-ROW('DM_XaPhuong'!$B$2)+1/ISNUMBER(SEARCH(SUBSTITUTE(UPPER($V308)," ",""),'DM_XaPhuong'!$C$2:$C$169)),1)),"Không tìm thấy"))</f>
        <v/>
      </c>
    </row>
    <row r="309">
      <c r="C309" s="5">
        <f>IF($B309="","",IFERROR(INDEX('DM_DoiTuong'!$B$2:$B$19,AGGREGATE(15,6,ROW('DM_DoiTuong'!$B$2:$B$19)-ROW('DM_DoiTuong'!$B$2)+1/ISNUMBER(SEARCH(SUBSTITUTE(UPPER($B309)," ",""),'DM_DoiTuong'!$C$2:$C$19)),1)),"Không tìm thấy"))</f>
        <v/>
      </c>
      <c r="E309" s="5">
        <f>IF($C309="","",IFERROR(INDEX('DM_DiaDiemKham'!$B$2:$B$6,AGGREGATE(15,6,ROW('DM_DiaDiemKham'!$B$2:$B$6)-ROW('DM_DiaDiemKham'!$B$2)+1/ISNUMBER(SEARCH(SUBSTITUTE(UPPER($C309)," ",""),'DM_DiaDiemKham'!$C$2:$C$6)),1)),"Không tìm thấy"))</f>
        <v/>
      </c>
      <c r="G309" s="5">
        <f>IF($D309="","",IFERROR(INDEX('DM_HinhThucChiTra'!$B$2:$B$5,AGGREGATE(15,6,ROW('DM_HinhThucChiTra'!$B$2:$B$5)-ROW('DM_HinhThucChiTra'!$B$2)+1/ISNUMBER(SEARCH(SUBSTITUTE(UPPER($D309)," ",""),'DM_HinhThucChiTra'!$C$2:$C$5)),1)),"Không tìm thấy"))</f>
        <v/>
      </c>
      <c r="I309" s="5">
        <f>IF($E309="","",IFERROR(INDEX('DM_HinhThucKham'!$B$2:$B$3,AGGREGATE(15,6,ROW('DM_HinhThucKham'!$B$2:$B$3)-ROW('DM_HinhThucKham'!$B$2)+1/ISNUMBER(SEARCH(SUBSTITUTE(UPPER($E309)," ",""),'DM_HinhThucKham'!$C$2:$C$3)),1)),"Không tìm thấy"))</f>
        <v/>
      </c>
      <c r="P309" s="5">
        <f>IF($K309="","",IFERROR(INDEX('DM_DanToc'!$B$2:$B$78,AGGREGATE(15,6,ROW('DM_DanToc'!$B$2:$B$78)-ROW('DM_DanToc'!$B$2)+1/ISNUMBER(SEARCH(SUBSTITUTE(UPPER($K309)," ",""),'DM_DanToc'!$C$2:$C$78)),1)),"Không tìm thấy"))</f>
        <v/>
      </c>
      <c r="W309" s="5">
        <f>IF($Q309="","",IFERROR(INDEX('DM_TinhThanh'!$B$2:$B$35,AGGREGATE(15,6,ROW('DM_TinhThanh'!$B$2:$B$35)-ROW('DM_TinhThanh'!$B$2)+1/ISNUMBER(SEARCH(SUBSTITUTE(UPPER($Q309)," ",""),'DM_TinhThanh'!$C$2:$C$35)),1)),"Không tìm thấy"))</f>
        <v/>
      </c>
      <c r="Y309" s="5">
        <f>IF($R309="","",IFERROR(INDEX('DM_XaPhuong'!$B$2:$B$169,AGGREGATE(15,6,ROW('DM_XaPhuong'!$B$2:$B$169)-ROW('DM_XaPhuong'!$B$2)+1/ISNUMBER(SEARCH(SUBSTITUTE(UPPER($R309)," ",""),'DM_XaPhuong'!$C$2:$C$169)),1)),"Không tìm thấy"))</f>
        <v/>
      </c>
      <c r="AB309" s="5">
        <f>IF($T309="","",IFERROR(INDEX('DM_NgheNghiep'!$B$2:$B$11,AGGREGATE(15,6,ROW('DM_NgheNghiep'!$B$2:$B$11)-ROW('DM_NgheNghiep'!$B$2)+1/ISNUMBER(SEARCH(SUBSTITUTE(UPPER($T309)," ",""),'DM_NgheNghiep'!$C$2:$C$11)),1)),"Không tìm thấy"))</f>
        <v/>
      </c>
      <c r="AD309" s="5">
        <f>IF($U309="","",IFERROR(INDEX('DM_NoiCongTac'!$B$2:$B$11,AGGREGATE(15,6,ROW('DM_NoiCongTac'!$B$2:$B$11)-ROW('DM_NoiCongTac'!$B$2)+1/ISNUMBER(SEARCH(SUBSTITUTE(UPPER($U309)," ",""),'DM_NoiCongTac'!$C$2:$C$11)),1)),"Không tìm thấy"))</f>
        <v/>
      </c>
      <c r="AF309" s="5">
        <f>IF($V309="","",IFERROR(INDEX('DM_XaPhuong'!$B$2:$B$169,AGGREGATE(15,6,ROW('DM_XaPhuong'!$B$2:$B$169)-ROW('DM_XaPhuong'!$B$2)+1/ISNUMBER(SEARCH(SUBSTITUTE(UPPER($V309)," ",""),'DM_XaPhuong'!$C$2:$C$169)),1)),"Không tìm thấy"))</f>
        <v/>
      </c>
    </row>
    <row r="310">
      <c r="C310" s="5">
        <f>IF($B310="","",IFERROR(INDEX('DM_DoiTuong'!$B$2:$B$19,AGGREGATE(15,6,ROW('DM_DoiTuong'!$B$2:$B$19)-ROW('DM_DoiTuong'!$B$2)+1/ISNUMBER(SEARCH(SUBSTITUTE(UPPER($B310)," ",""),'DM_DoiTuong'!$C$2:$C$19)),1)),"Không tìm thấy"))</f>
        <v/>
      </c>
      <c r="E310" s="5">
        <f>IF($C310="","",IFERROR(INDEX('DM_DiaDiemKham'!$B$2:$B$6,AGGREGATE(15,6,ROW('DM_DiaDiemKham'!$B$2:$B$6)-ROW('DM_DiaDiemKham'!$B$2)+1/ISNUMBER(SEARCH(SUBSTITUTE(UPPER($C310)," ",""),'DM_DiaDiemKham'!$C$2:$C$6)),1)),"Không tìm thấy"))</f>
        <v/>
      </c>
      <c r="G310" s="5">
        <f>IF($D310="","",IFERROR(INDEX('DM_HinhThucChiTra'!$B$2:$B$5,AGGREGATE(15,6,ROW('DM_HinhThucChiTra'!$B$2:$B$5)-ROW('DM_HinhThucChiTra'!$B$2)+1/ISNUMBER(SEARCH(SUBSTITUTE(UPPER($D310)," ",""),'DM_HinhThucChiTra'!$C$2:$C$5)),1)),"Không tìm thấy"))</f>
        <v/>
      </c>
      <c r="I310" s="5">
        <f>IF($E310="","",IFERROR(INDEX('DM_HinhThucKham'!$B$2:$B$3,AGGREGATE(15,6,ROW('DM_HinhThucKham'!$B$2:$B$3)-ROW('DM_HinhThucKham'!$B$2)+1/ISNUMBER(SEARCH(SUBSTITUTE(UPPER($E310)," ",""),'DM_HinhThucKham'!$C$2:$C$3)),1)),"Không tìm thấy"))</f>
        <v/>
      </c>
      <c r="P310" s="5">
        <f>IF($K310="","",IFERROR(INDEX('DM_DanToc'!$B$2:$B$78,AGGREGATE(15,6,ROW('DM_DanToc'!$B$2:$B$78)-ROW('DM_DanToc'!$B$2)+1/ISNUMBER(SEARCH(SUBSTITUTE(UPPER($K310)," ",""),'DM_DanToc'!$C$2:$C$78)),1)),"Không tìm thấy"))</f>
        <v/>
      </c>
      <c r="W310" s="5">
        <f>IF($Q310="","",IFERROR(INDEX('DM_TinhThanh'!$B$2:$B$35,AGGREGATE(15,6,ROW('DM_TinhThanh'!$B$2:$B$35)-ROW('DM_TinhThanh'!$B$2)+1/ISNUMBER(SEARCH(SUBSTITUTE(UPPER($Q310)," ",""),'DM_TinhThanh'!$C$2:$C$35)),1)),"Không tìm thấy"))</f>
        <v/>
      </c>
      <c r="Y310" s="5">
        <f>IF($R310="","",IFERROR(INDEX('DM_XaPhuong'!$B$2:$B$169,AGGREGATE(15,6,ROW('DM_XaPhuong'!$B$2:$B$169)-ROW('DM_XaPhuong'!$B$2)+1/ISNUMBER(SEARCH(SUBSTITUTE(UPPER($R310)," ",""),'DM_XaPhuong'!$C$2:$C$169)),1)),"Không tìm thấy"))</f>
        <v/>
      </c>
      <c r="AB310" s="5">
        <f>IF($T310="","",IFERROR(INDEX('DM_NgheNghiep'!$B$2:$B$11,AGGREGATE(15,6,ROW('DM_NgheNghiep'!$B$2:$B$11)-ROW('DM_NgheNghiep'!$B$2)+1/ISNUMBER(SEARCH(SUBSTITUTE(UPPER($T310)," ",""),'DM_NgheNghiep'!$C$2:$C$11)),1)),"Không tìm thấy"))</f>
        <v/>
      </c>
      <c r="AD310" s="5">
        <f>IF($U310="","",IFERROR(INDEX('DM_NoiCongTac'!$B$2:$B$11,AGGREGATE(15,6,ROW('DM_NoiCongTac'!$B$2:$B$11)-ROW('DM_NoiCongTac'!$B$2)+1/ISNUMBER(SEARCH(SUBSTITUTE(UPPER($U310)," ",""),'DM_NoiCongTac'!$C$2:$C$11)),1)),"Không tìm thấy"))</f>
        <v/>
      </c>
      <c r="AF310" s="5">
        <f>IF($V310="","",IFERROR(INDEX('DM_XaPhuong'!$B$2:$B$169,AGGREGATE(15,6,ROW('DM_XaPhuong'!$B$2:$B$169)-ROW('DM_XaPhuong'!$B$2)+1/ISNUMBER(SEARCH(SUBSTITUTE(UPPER($V310)," ",""),'DM_XaPhuong'!$C$2:$C$169)),1)),"Không tìm thấy"))</f>
        <v/>
      </c>
    </row>
    <row r="311">
      <c r="C311" s="5">
        <f>IF($B311="","",IFERROR(INDEX('DM_DoiTuong'!$B$2:$B$19,AGGREGATE(15,6,ROW('DM_DoiTuong'!$B$2:$B$19)-ROW('DM_DoiTuong'!$B$2)+1/ISNUMBER(SEARCH(SUBSTITUTE(UPPER($B311)," ",""),'DM_DoiTuong'!$C$2:$C$19)),1)),"Không tìm thấy"))</f>
        <v/>
      </c>
      <c r="E311" s="5">
        <f>IF($C311="","",IFERROR(INDEX('DM_DiaDiemKham'!$B$2:$B$6,AGGREGATE(15,6,ROW('DM_DiaDiemKham'!$B$2:$B$6)-ROW('DM_DiaDiemKham'!$B$2)+1/ISNUMBER(SEARCH(SUBSTITUTE(UPPER($C311)," ",""),'DM_DiaDiemKham'!$C$2:$C$6)),1)),"Không tìm thấy"))</f>
        <v/>
      </c>
      <c r="G311" s="5">
        <f>IF($D311="","",IFERROR(INDEX('DM_HinhThucChiTra'!$B$2:$B$5,AGGREGATE(15,6,ROW('DM_HinhThucChiTra'!$B$2:$B$5)-ROW('DM_HinhThucChiTra'!$B$2)+1/ISNUMBER(SEARCH(SUBSTITUTE(UPPER($D311)," ",""),'DM_HinhThucChiTra'!$C$2:$C$5)),1)),"Không tìm thấy"))</f>
        <v/>
      </c>
      <c r="I311" s="5">
        <f>IF($E311="","",IFERROR(INDEX('DM_HinhThucKham'!$B$2:$B$3,AGGREGATE(15,6,ROW('DM_HinhThucKham'!$B$2:$B$3)-ROW('DM_HinhThucKham'!$B$2)+1/ISNUMBER(SEARCH(SUBSTITUTE(UPPER($E311)," ",""),'DM_HinhThucKham'!$C$2:$C$3)),1)),"Không tìm thấy"))</f>
        <v/>
      </c>
      <c r="P311" s="5">
        <f>IF($K311="","",IFERROR(INDEX('DM_DanToc'!$B$2:$B$78,AGGREGATE(15,6,ROW('DM_DanToc'!$B$2:$B$78)-ROW('DM_DanToc'!$B$2)+1/ISNUMBER(SEARCH(SUBSTITUTE(UPPER($K311)," ",""),'DM_DanToc'!$C$2:$C$78)),1)),"Không tìm thấy"))</f>
        <v/>
      </c>
      <c r="W311" s="5">
        <f>IF($Q311="","",IFERROR(INDEX('DM_TinhThanh'!$B$2:$B$35,AGGREGATE(15,6,ROW('DM_TinhThanh'!$B$2:$B$35)-ROW('DM_TinhThanh'!$B$2)+1/ISNUMBER(SEARCH(SUBSTITUTE(UPPER($Q311)," ",""),'DM_TinhThanh'!$C$2:$C$35)),1)),"Không tìm thấy"))</f>
        <v/>
      </c>
      <c r="Y311" s="5">
        <f>IF($R311="","",IFERROR(INDEX('DM_XaPhuong'!$B$2:$B$169,AGGREGATE(15,6,ROW('DM_XaPhuong'!$B$2:$B$169)-ROW('DM_XaPhuong'!$B$2)+1/ISNUMBER(SEARCH(SUBSTITUTE(UPPER($R311)," ",""),'DM_XaPhuong'!$C$2:$C$169)),1)),"Không tìm thấy"))</f>
        <v/>
      </c>
      <c r="AB311" s="5">
        <f>IF($T311="","",IFERROR(INDEX('DM_NgheNghiep'!$B$2:$B$11,AGGREGATE(15,6,ROW('DM_NgheNghiep'!$B$2:$B$11)-ROW('DM_NgheNghiep'!$B$2)+1/ISNUMBER(SEARCH(SUBSTITUTE(UPPER($T311)," ",""),'DM_NgheNghiep'!$C$2:$C$11)),1)),"Không tìm thấy"))</f>
        <v/>
      </c>
      <c r="AD311" s="5">
        <f>IF($U311="","",IFERROR(INDEX('DM_NoiCongTac'!$B$2:$B$11,AGGREGATE(15,6,ROW('DM_NoiCongTac'!$B$2:$B$11)-ROW('DM_NoiCongTac'!$B$2)+1/ISNUMBER(SEARCH(SUBSTITUTE(UPPER($U311)," ",""),'DM_NoiCongTac'!$C$2:$C$11)),1)),"Không tìm thấy"))</f>
        <v/>
      </c>
      <c r="AF311" s="5">
        <f>IF($V311="","",IFERROR(INDEX('DM_XaPhuong'!$B$2:$B$169,AGGREGATE(15,6,ROW('DM_XaPhuong'!$B$2:$B$169)-ROW('DM_XaPhuong'!$B$2)+1/ISNUMBER(SEARCH(SUBSTITUTE(UPPER($V311)," ",""),'DM_XaPhuong'!$C$2:$C$169)),1)),"Không tìm thấy"))</f>
        <v/>
      </c>
    </row>
    <row r="312">
      <c r="C312" s="5">
        <f>IF($B312="","",IFERROR(INDEX('DM_DoiTuong'!$B$2:$B$19,AGGREGATE(15,6,ROW('DM_DoiTuong'!$B$2:$B$19)-ROW('DM_DoiTuong'!$B$2)+1/ISNUMBER(SEARCH(SUBSTITUTE(UPPER($B312)," ",""),'DM_DoiTuong'!$C$2:$C$19)),1)),"Không tìm thấy"))</f>
        <v/>
      </c>
      <c r="E312" s="5">
        <f>IF($C312="","",IFERROR(INDEX('DM_DiaDiemKham'!$B$2:$B$6,AGGREGATE(15,6,ROW('DM_DiaDiemKham'!$B$2:$B$6)-ROW('DM_DiaDiemKham'!$B$2)+1/ISNUMBER(SEARCH(SUBSTITUTE(UPPER($C312)," ",""),'DM_DiaDiemKham'!$C$2:$C$6)),1)),"Không tìm thấy"))</f>
        <v/>
      </c>
      <c r="G312" s="5">
        <f>IF($D312="","",IFERROR(INDEX('DM_HinhThucChiTra'!$B$2:$B$5,AGGREGATE(15,6,ROW('DM_HinhThucChiTra'!$B$2:$B$5)-ROW('DM_HinhThucChiTra'!$B$2)+1/ISNUMBER(SEARCH(SUBSTITUTE(UPPER($D312)," ",""),'DM_HinhThucChiTra'!$C$2:$C$5)),1)),"Không tìm thấy"))</f>
        <v/>
      </c>
      <c r="I312" s="5">
        <f>IF($E312="","",IFERROR(INDEX('DM_HinhThucKham'!$B$2:$B$3,AGGREGATE(15,6,ROW('DM_HinhThucKham'!$B$2:$B$3)-ROW('DM_HinhThucKham'!$B$2)+1/ISNUMBER(SEARCH(SUBSTITUTE(UPPER($E312)," ",""),'DM_HinhThucKham'!$C$2:$C$3)),1)),"Không tìm thấy"))</f>
        <v/>
      </c>
      <c r="P312" s="5">
        <f>IF($K312="","",IFERROR(INDEX('DM_DanToc'!$B$2:$B$78,AGGREGATE(15,6,ROW('DM_DanToc'!$B$2:$B$78)-ROW('DM_DanToc'!$B$2)+1/ISNUMBER(SEARCH(SUBSTITUTE(UPPER($K312)," ",""),'DM_DanToc'!$C$2:$C$78)),1)),"Không tìm thấy"))</f>
        <v/>
      </c>
      <c r="W312" s="5">
        <f>IF($Q312="","",IFERROR(INDEX('DM_TinhThanh'!$B$2:$B$35,AGGREGATE(15,6,ROW('DM_TinhThanh'!$B$2:$B$35)-ROW('DM_TinhThanh'!$B$2)+1/ISNUMBER(SEARCH(SUBSTITUTE(UPPER($Q312)," ",""),'DM_TinhThanh'!$C$2:$C$35)),1)),"Không tìm thấy"))</f>
        <v/>
      </c>
      <c r="Y312" s="5">
        <f>IF($R312="","",IFERROR(INDEX('DM_XaPhuong'!$B$2:$B$169,AGGREGATE(15,6,ROW('DM_XaPhuong'!$B$2:$B$169)-ROW('DM_XaPhuong'!$B$2)+1/ISNUMBER(SEARCH(SUBSTITUTE(UPPER($R312)," ",""),'DM_XaPhuong'!$C$2:$C$169)),1)),"Không tìm thấy"))</f>
        <v/>
      </c>
      <c r="AB312" s="5">
        <f>IF($T312="","",IFERROR(INDEX('DM_NgheNghiep'!$B$2:$B$11,AGGREGATE(15,6,ROW('DM_NgheNghiep'!$B$2:$B$11)-ROW('DM_NgheNghiep'!$B$2)+1/ISNUMBER(SEARCH(SUBSTITUTE(UPPER($T312)," ",""),'DM_NgheNghiep'!$C$2:$C$11)),1)),"Không tìm thấy"))</f>
        <v/>
      </c>
      <c r="AD312" s="5">
        <f>IF($U312="","",IFERROR(INDEX('DM_NoiCongTac'!$B$2:$B$11,AGGREGATE(15,6,ROW('DM_NoiCongTac'!$B$2:$B$11)-ROW('DM_NoiCongTac'!$B$2)+1/ISNUMBER(SEARCH(SUBSTITUTE(UPPER($U312)," ",""),'DM_NoiCongTac'!$C$2:$C$11)),1)),"Không tìm thấy"))</f>
        <v/>
      </c>
      <c r="AF312" s="5">
        <f>IF($V312="","",IFERROR(INDEX('DM_XaPhuong'!$B$2:$B$169,AGGREGATE(15,6,ROW('DM_XaPhuong'!$B$2:$B$169)-ROW('DM_XaPhuong'!$B$2)+1/ISNUMBER(SEARCH(SUBSTITUTE(UPPER($V312)," ",""),'DM_XaPhuong'!$C$2:$C$169)),1)),"Không tìm thấy"))</f>
        <v/>
      </c>
    </row>
    <row r="313">
      <c r="C313" s="5">
        <f>IF($B313="","",IFERROR(INDEX('DM_DoiTuong'!$B$2:$B$19,AGGREGATE(15,6,ROW('DM_DoiTuong'!$B$2:$B$19)-ROW('DM_DoiTuong'!$B$2)+1/ISNUMBER(SEARCH(SUBSTITUTE(UPPER($B313)," ",""),'DM_DoiTuong'!$C$2:$C$19)),1)),"Không tìm thấy"))</f>
        <v/>
      </c>
      <c r="E313" s="5">
        <f>IF($C313="","",IFERROR(INDEX('DM_DiaDiemKham'!$B$2:$B$6,AGGREGATE(15,6,ROW('DM_DiaDiemKham'!$B$2:$B$6)-ROW('DM_DiaDiemKham'!$B$2)+1/ISNUMBER(SEARCH(SUBSTITUTE(UPPER($C313)," ",""),'DM_DiaDiemKham'!$C$2:$C$6)),1)),"Không tìm thấy"))</f>
        <v/>
      </c>
      <c r="G313" s="5">
        <f>IF($D313="","",IFERROR(INDEX('DM_HinhThucChiTra'!$B$2:$B$5,AGGREGATE(15,6,ROW('DM_HinhThucChiTra'!$B$2:$B$5)-ROW('DM_HinhThucChiTra'!$B$2)+1/ISNUMBER(SEARCH(SUBSTITUTE(UPPER($D313)," ",""),'DM_HinhThucChiTra'!$C$2:$C$5)),1)),"Không tìm thấy"))</f>
        <v/>
      </c>
      <c r="I313" s="5">
        <f>IF($E313="","",IFERROR(INDEX('DM_HinhThucKham'!$B$2:$B$3,AGGREGATE(15,6,ROW('DM_HinhThucKham'!$B$2:$B$3)-ROW('DM_HinhThucKham'!$B$2)+1/ISNUMBER(SEARCH(SUBSTITUTE(UPPER($E313)," ",""),'DM_HinhThucKham'!$C$2:$C$3)),1)),"Không tìm thấy"))</f>
        <v/>
      </c>
      <c r="P313" s="5">
        <f>IF($K313="","",IFERROR(INDEX('DM_DanToc'!$B$2:$B$78,AGGREGATE(15,6,ROW('DM_DanToc'!$B$2:$B$78)-ROW('DM_DanToc'!$B$2)+1/ISNUMBER(SEARCH(SUBSTITUTE(UPPER($K313)," ",""),'DM_DanToc'!$C$2:$C$78)),1)),"Không tìm thấy"))</f>
        <v/>
      </c>
      <c r="W313" s="5">
        <f>IF($Q313="","",IFERROR(INDEX('DM_TinhThanh'!$B$2:$B$35,AGGREGATE(15,6,ROW('DM_TinhThanh'!$B$2:$B$35)-ROW('DM_TinhThanh'!$B$2)+1/ISNUMBER(SEARCH(SUBSTITUTE(UPPER($Q313)," ",""),'DM_TinhThanh'!$C$2:$C$35)),1)),"Không tìm thấy"))</f>
        <v/>
      </c>
      <c r="Y313" s="5">
        <f>IF($R313="","",IFERROR(INDEX('DM_XaPhuong'!$B$2:$B$169,AGGREGATE(15,6,ROW('DM_XaPhuong'!$B$2:$B$169)-ROW('DM_XaPhuong'!$B$2)+1/ISNUMBER(SEARCH(SUBSTITUTE(UPPER($R313)," ",""),'DM_XaPhuong'!$C$2:$C$169)),1)),"Không tìm thấy"))</f>
        <v/>
      </c>
      <c r="AB313" s="5">
        <f>IF($T313="","",IFERROR(INDEX('DM_NgheNghiep'!$B$2:$B$11,AGGREGATE(15,6,ROW('DM_NgheNghiep'!$B$2:$B$11)-ROW('DM_NgheNghiep'!$B$2)+1/ISNUMBER(SEARCH(SUBSTITUTE(UPPER($T313)," ",""),'DM_NgheNghiep'!$C$2:$C$11)),1)),"Không tìm thấy"))</f>
        <v/>
      </c>
      <c r="AD313" s="5">
        <f>IF($U313="","",IFERROR(INDEX('DM_NoiCongTac'!$B$2:$B$11,AGGREGATE(15,6,ROW('DM_NoiCongTac'!$B$2:$B$11)-ROW('DM_NoiCongTac'!$B$2)+1/ISNUMBER(SEARCH(SUBSTITUTE(UPPER($U313)," ",""),'DM_NoiCongTac'!$C$2:$C$11)),1)),"Không tìm thấy"))</f>
        <v/>
      </c>
      <c r="AF313" s="5">
        <f>IF($V313="","",IFERROR(INDEX('DM_XaPhuong'!$B$2:$B$169,AGGREGATE(15,6,ROW('DM_XaPhuong'!$B$2:$B$169)-ROW('DM_XaPhuong'!$B$2)+1/ISNUMBER(SEARCH(SUBSTITUTE(UPPER($V313)," ",""),'DM_XaPhuong'!$C$2:$C$169)),1)),"Không tìm thấy"))</f>
        <v/>
      </c>
    </row>
    <row r="314">
      <c r="C314" s="5">
        <f>IF($B314="","",IFERROR(INDEX('DM_DoiTuong'!$B$2:$B$19,AGGREGATE(15,6,ROW('DM_DoiTuong'!$B$2:$B$19)-ROW('DM_DoiTuong'!$B$2)+1/ISNUMBER(SEARCH(SUBSTITUTE(UPPER($B314)," ",""),'DM_DoiTuong'!$C$2:$C$19)),1)),"Không tìm thấy"))</f>
        <v/>
      </c>
      <c r="E314" s="5">
        <f>IF($C314="","",IFERROR(INDEX('DM_DiaDiemKham'!$B$2:$B$6,AGGREGATE(15,6,ROW('DM_DiaDiemKham'!$B$2:$B$6)-ROW('DM_DiaDiemKham'!$B$2)+1/ISNUMBER(SEARCH(SUBSTITUTE(UPPER($C314)," ",""),'DM_DiaDiemKham'!$C$2:$C$6)),1)),"Không tìm thấy"))</f>
        <v/>
      </c>
      <c r="G314" s="5">
        <f>IF($D314="","",IFERROR(INDEX('DM_HinhThucChiTra'!$B$2:$B$5,AGGREGATE(15,6,ROW('DM_HinhThucChiTra'!$B$2:$B$5)-ROW('DM_HinhThucChiTra'!$B$2)+1/ISNUMBER(SEARCH(SUBSTITUTE(UPPER($D314)," ",""),'DM_HinhThucChiTra'!$C$2:$C$5)),1)),"Không tìm thấy"))</f>
        <v/>
      </c>
      <c r="I314" s="5">
        <f>IF($E314="","",IFERROR(INDEX('DM_HinhThucKham'!$B$2:$B$3,AGGREGATE(15,6,ROW('DM_HinhThucKham'!$B$2:$B$3)-ROW('DM_HinhThucKham'!$B$2)+1/ISNUMBER(SEARCH(SUBSTITUTE(UPPER($E314)," ",""),'DM_HinhThucKham'!$C$2:$C$3)),1)),"Không tìm thấy"))</f>
        <v/>
      </c>
      <c r="P314" s="5">
        <f>IF($K314="","",IFERROR(INDEX('DM_DanToc'!$B$2:$B$78,AGGREGATE(15,6,ROW('DM_DanToc'!$B$2:$B$78)-ROW('DM_DanToc'!$B$2)+1/ISNUMBER(SEARCH(SUBSTITUTE(UPPER($K314)," ",""),'DM_DanToc'!$C$2:$C$78)),1)),"Không tìm thấy"))</f>
        <v/>
      </c>
      <c r="W314" s="5">
        <f>IF($Q314="","",IFERROR(INDEX('DM_TinhThanh'!$B$2:$B$35,AGGREGATE(15,6,ROW('DM_TinhThanh'!$B$2:$B$35)-ROW('DM_TinhThanh'!$B$2)+1/ISNUMBER(SEARCH(SUBSTITUTE(UPPER($Q314)," ",""),'DM_TinhThanh'!$C$2:$C$35)),1)),"Không tìm thấy"))</f>
        <v/>
      </c>
      <c r="Y314" s="5">
        <f>IF($R314="","",IFERROR(INDEX('DM_XaPhuong'!$B$2:$B$169,AGGREGATE(15,6,ROW('DM_XaPhuong'!$B$2:$B$169)-ROW('DM_XaPhuong'!$B$2)+1/ISNUMBER(SEARCH(SUBSTITUTE(UPPER($R314)," ",""),'DM_XaPhuong'!$C$2:$C$169)),1)),"Không tìm thấy"))</f>
        <v/>
      </c>
      <c r="AB314" s="5">
        <f>IF($T314="","",IFERROR(INDEX('DM_NgheNghiep'!$B$2:$B$11,AGGREGATE(15,6,ROW('DM_NgheNghiep'!$B$2:$B$11)-ROW('DM_NgheNghiep'!$B$2)+1/ISNUMBER(SEARCH(SUBSTITUTE(UPPER($T314)," ",""),'DM_NgheNghiep'!$C$2:$C$11)),1)),"Không tìm thấy"))</f>
        <v/>
      </c>
      <c r="AD314" s="5">
        <f>IF($U314="","",IFERROR(INDEX('DM_NoiCongTac'!$B$2:$B$11,AGGREGATE(15,6,ROW('DM_NoiCongTac'!$B$2:$B$11)-ROW('DM_NoiCongTac'!$B$2)+1/ISNUMBER(SEARCH(SUBSTITUTE(UPPER($U314)," ",""),'DM_NoiCongTac'!$C$2:$C$11)),1)),"Không tìm thấy"))</f>
        <v/>
      </c>
      <c r="AF314" s="5">
        <f>IF($V314="","",IFERROR(INDEX('DM_XaPhuong'!$B$2:$B$169,AGGREGATE(15,6,ROW('DM_XaPhuong'!$B$2:$B$169)-ROW('DM_XaPhuong'!$B$2)+1/ISNUMBER(SEARCH(SUBSTITUTE(UPPER($V314)," ",""),'DM_XaPhuong'!$C$2:$C$169)),1)),"Không tìm thấy"))</f>
        <v/>
      </c>
    </row>
    <row r="315">
      <c r="C315" s="5">
        <f>IF($B315="","",IFERROR(INDEX('DM_DoiTuong'!$B$2:$B$19,AGGREGATE(15,6,ROW('DM_DoiTuong'!$B$2:$B$19)-ROW('DM_DoiTuong'!$B$2)+1/ISNUMBER(SEARCH(SUBSTITUTE(UPPER($B315)," ",""),'DM_DoiTuong'!$C$2:$C$19)),1)),"Không tìm thấy"))</f>
        <v/>
      </c>
      <c r="E315" s="5">
        <f>IF($C315="","",IFERROR(INDEX('DM_DiaDiemKham'!$B$2:$B$6,AGGREGATE(15,6,ROW('DM_DiaDiemKham'!$B$2:$B$6)-ROW('DM_DiaDiemKham'!$B$2)+1/ISNUMBER(SEARCH(SUBSTITUTE(UPPER($C315)," ",""),'DM_DiaDiemKham'!$C$2:$C$6)),1)),"Không tìm thấy"))</f>
        <v/>
      </c>
      <c r="G315" s="5">
        <f>IF($D315="","",IFERROR(INDEX('DM_HinhThucChiTra'!$B$2:$B$5,AGGREGATE(15,6,ROW('DM_HinhThucChiTra'!$B$2:$B$5)-ROW('DM_HinhThucChiTra'!$B$2)+1/ISNUMBER(SEARCH(SUBSTITUTE(UPPER($D315)," ",""),'DM_HinhThucChiTra'!$C$2:$C$5)),1)),"Không tìm thấy"))</f>
        <v/>
      </c>
      <c r="I315" s="5">
        <f>IF($E315="","",IFERROR(INDEX('DM_HinhThucKham'!$B$2:$B$3,AGGREGATE(15,6,ROW('DM_HinhThucKham'!$B$2:$B$3)-ROW('DM_HinhThucKham'!$B$2)+1/ISNUMBER(SEARCH(SUBSTITUTE(UPPER($E315)," ",""),'DM_HinhThucKham'!$C$2:$C$3)),1)),"Không tìm thấy"))</f>
        <v/>
      </c>
      <c r="P315" s="5">
        <f>IF($K315="","",IFERROR(INDEX('DM_DanToc'!$B$2:$B$78,AGGREGATE(15,6,ROW('DM_DanToc'!$B$2:$B$78)-ROW('DM_DanToc'!$B$2)+1/ISNUMBER(SEARCH(SUBSTITUTE(UPPER($K315)," ",""),'DM_DanToc'!$C$2:$C$78)),1)),"Không tìm thấy"))</f>
        <v/>
      </c>
      <c r="W315" s="5">
        <f>IF($Q315="","",IFERROR(INDEX('DM_TinhThanh'!$B$2:$B$35,AGGREGATE(15,6,ROW('DM_TinhThanh'!$B$2:$B$35)-ROW('DM_TinhThanh'!$B$2)+1/ISNUMBER(SEARCH(SUBSTITUTE(UPPER($Q315)," ",""),'DM_TinhThanh'!$C$2:$C$35)),1)),"Không tìm thấy"))</f>
        <v/>
      </c>
      <c r="Y315" s="5">
        <f>IF($R315="","",IFERROR(INDEX('DM_XaPhuong'!$B$2:$B$169,AGGREGATE(15,6,ROW('DM_XaPhuong'!$B$2:$B$169)-ROW('DM_XaPhuong'!$B$2)+1/ISNUMBER(SEARCH(SUBSTITUTE(UPPER($R315)," ",""),'DM_XaPhuong'!$C$2:$C$169)),1)),"Không tìm thấy"))</f>
        <v/>
      </c>
      <c r="AB315" s="5">
        <f>IF($T315="","",IFERROR(INDEX('DM_NgheNghiep'!$B$2:$B$11,AGGREGATE(15,6,ROW('DM_NgheNghiep'!$B$2:$B$11)-ROW('DM_NgheNghiep'!$B$2)+1/ISNUMBER(SEARCH(SUBSTITUTE(UPPER($T315)," ",""),'DM_NgheNghiep'!$C$2:$C$11)),1)),"Không tìm thấy"))</f>
        <v/>
      </c>
      <c r="AD315" s="5">
        <f>IF($U315="","",IFERROR(INDEX('DM_NoiCongTac'!$B$2:$B$11,AGGREGATE(15,6,ROW('DM_NoiCongTac'!$B$2:$B$11)-ROW('DM_NoiCongTac'!$B$2)+1/ISNUMBER(SEARCH(SUBSTITUTE(UPPER($U315)," ",""),'DM_NoiCongTac'!$C$2:$C$11)),1)),"Không tìm thấy"))</f>
        <v/>
      </c>
      <c r="AF315" s="5">
        <f>IF($V315="","",IFERROR(INDEX('DM_XaPhuong'!$B$2:$B$169,AGGREGATE(15,6,ROW('DM_XaPhuong'!$B$2:$B$169)-ROW('DM_XaPhuong'!$B$2)+1/ISNUMBER(SEARCH(SUBSTITUTE(UPPER($V315)," ",""),'DM_XaPhuong'!$C$2:$C$169)),1)),"Không tìm thấy"))</f>
        <v/>
      </c>
    </row>
    <row r="316">
      <c r="C316" s="5">
        <f>IF($B316="","",IFERROR(INDEX('DM_DoiTuong'!$B$2:$B$19,AGGREGATE(15,6,ROW('DM_DoiTuong'!$B$2:$B$19)-ROW('DM_DoiTuong'!$B$2)+1/ISNUMBER(SEARCH(SUBSTITUTE(UPPER($B316)," ",""),'DM_DoiTuong'!$C$2:$C$19)),1)),"Không tìm thấy"))</f>
        <v/>
      </c>
      <c r="E316" s="5">
        <f>IF($C316="","",IFERROR(INDEX('DM_DiaDiemKham'!$B$2:$B$6,AGGREGATE(15,6,ROW('DM_DiaDiemKham'!$B$2:$B$6)-ROW('DM_DiaDiemKham'!$B$2)+1/ISNUMBER(SEARCH(SUBSTITUTE(UPPER($C316)," ",""),'DM_DiaDiemKham'!$C$2:$C$6)),1)),"Không tìm thấy"))</f>
        <v/>
      </c>
      <c r="G316" s="5">
        <f>IF($D316="","",IFERROR(INDEX('DM_HinhThucChiTra'!$B$2:$B$5,AGGREGATE(15,6,ROW('DM_HinhThucChiTra'!$B$2:$B$5)-ROW('DM_HinhThucChiTra'!$B$2)+1/ISNUMBER(SEARCH(SUBSTITUTE(UPPER($D316)," ",""),'DM_HinhThucChiTra'!$C$2:$C$5)),1)),"Không tìm thấy"))</f>
        <v/>
      </c>
      <c r="I316" s="5">
        <f>IF($E316="","",IFERROR(INDEX('DM_HinhThucKham'!$B$2:$B$3,AGGREGATE(15,6,ROW('DM_HinhThucKham'!$B$2:$B$3)-ROW('DM_HinhThucKham'!$B$2)+1/ISNUMBER(SEARCH(SUBSTITUTE(UPPER($E316)," ",""),'DM_HinhThucKham'!$C$2:$C$3)),1)),"Không tìm thấy"))</f>
        <v/>
      </c>
      <c r="P316" s="5">
        <f>IF($K316="","",IFERROR(INDEX('DM_DanToc'!$B$2:$B$78,AGGREGATE(15,6,ROW('DM_DanToc'!$B$2:$B$78)-ROW('DM_DanToc'!$B$2)+1/ISNUMBER(SEARCH(SUBSTITUTE(UPPER($K316)," ",""),'DM_DanToc'!$C$2:$C$78)),1)),"Không tìm thấy"))</f>
        <v/>
      </c>
      <c r="W316" s="5">
        <f>IF($Q316="","",IFERROR(INDEX('DM_TinhThanh'!$B$2:$B$35,AGGREGATE(15,6,ROW('DM_TinhThanh'!$B$2:$B$35)-ROW('DM_TinhThanh'!$B$2)+1/ISNUMBER(SEARCH(SUBSTITUTE(UPPER($Q316)," ",""),'DM_TinhThanh'!$C$2:$C$35)),1)),"Không tìm thấy"))</f>
        <v/>
      </c>
      <c r="Y316" s="5">
        <f>IF($R316="","",IFERROR(INDEX('DM_XaPhuong'!$B$2:$B$169,AGGREGATE(15,6,ROW('DM_XaPhuong'!$B$2:$B$169)-ROW('DM_XaPhuong'!$B$2)+1/ISNUMBER(SEARCH(SUBSTITUTE(UPPER($R316)," ",""),'DM_XaPhuong'!$C$2:$C$169)),1)),"Không tìm thấy"))</f>
        <v/>
      </c>
      <c r="AB316" s="5">
        <f>IF($T316="","",IFERROR(INDEX('DM_NgheNghiep'!$B$2:$B$11,AGGREGATE(15,6,ROW('DM_NgheNghiep'!$B$2:$B$11)-ROW('DM_NgheNghiep'!$B$2)+1/ISNUMBER(SEARCH(SUBSTITUTE(UPPER($T316)," ",""),'DM_NgheNghiep'!$C$2:$C$11)),1)),"Không tìm thấy"))</f>
        <v/>
      </c>
      <c r="AD316" s="5">
        <f>IF($U316="","",IFERROR(INDEX('DM_NoiCongTac'!$B$2:$B$11,AGGREGATE(15,6,ROW('DM_NoiCongTac'!$B$2:$B$11)-ROW('DM_NoiCongTac'!$B$2)+1/ISNUMBER(SEARCH(SUBSTITUTE(UPPER($U316)," ",""),'DM_NoiCongTac'!$C$2:$C$11)),1)),"Không tìm thấy"))</f>
        <v/>
      </c>
      <c r="AF316" s="5">
        <f>IF($V316="","",IFERROR(INDEX('DM_XaPhuong'!$B$2:$B$169,AGGREGATE(15,6,ROW('DM_XaPhuong'!$B$2:$B$169)-ROW('DM_XaPhuong'!$B$2)+1/ISNUMBER(SEARCH(SUBSTITUTE(UPPER($V316)," ",""),'DM_XaPhuong'!$C$2:$C$169)),1)),"Không tìm thấy"))</f>
        <v/>
      </c>
    </row>
    <row r="317">
      <c r="C317" s="5">
        <f>IF($B317="","",IFERROR(INDEX('DM_DoiTuong'!$B$2:$B$19,AGGREGATE(15,6,ROW('DM_DoiTuong'!$B$2:$B$19)-ROW('DM_DoiTuong'!$B$2)+1/ISNUMBER(SEARCH(SUBSTITUTE(UPPER($B317)," ",""),'DM_DoiTuong'!$C$2:$C$19)),1)),"Không tìm thấy"))</f>
        <v/>
      </c>
      <c r="E317" s="5">
        <f>IF($C317="","",IFERROR(INDEX('DM_DiaDiemKham'!$B$2:$B$6,AGGREGATE(15,6,ROW('DM_DiaDiemKham'!$B$2:$B$6)-ROW('DM_DiaDiemKham'!$B$2)+1/ISNUMBER(SEARCH(SUBSTITUTE(UPPER($C317)," ",""),'DM_DiaDiemKham'!$C$2:$C$6)),1)),"Không tìm thấy"))</f>
        <v/>
      </c>
      <c r="G317" s="5">
        <f>IF($D317="","",IFERROR(INDEX('DM_HinhThucChiTra'!$B$2:$B$5,AGGREGATE(15,6,ROW('DM_HinhThucChiTra'!$B$2:$B$5)-ROW('DM_HinhThucChiTra'!$B$2)+1/ISNUMBER(SEARCH(SUBSTITUTE(UPPER($D317)," ",""),'DM_HinhThucChiTra'!$C$2:$C$5)),1)),"Không tìm thấy"))</f>
        <v/>
      </c>
      <c r="I317" s="5">
        <f>IF($E317="","",IFERROR(INDEX('DM_HinhThucKham'!$B$2:$B$3,AGGREGATE(15,6,ROW('DM_HinhThucKham'!$B$2:$B$3)-ROW('DM_HinhThucKham'!$B$2)+1/ISNUMBER(SEARCH(SUBSTITUTE(UPPER($E317)," ",""),'DM_HinhThucKham'!$C$2:$C$3)),1)),"Không tìm thấy"))</f>
        <v/>
      </c>
      <c r="P317" s="5">
        <f>IF($K317="","",IFERROR(INDEX('DM_DanToc'!$B$2:$B$78,AGGREGATE(15,6,ROW('DM_DanToc'!$B$2:$B$78)-ROW('DM_DanToc'!$B$2)+1/ISNUMBER(SEARCH(SUBSTITUTE(UPPER($K317)," ",""),'DM_DanToc'!$C$2:$C$78)),1)),"Không tìm thấy"))</f>
        <v/>
      </c>
      <c r="W317" s="5">
        <f>IF($Q317="","",IFERROR(INDEX('DM_TinhThanh'!$B$2:$B$35,AGGREGATE(15,6,ROW('DM_TinhThanh'!$B$2:$B$35)-ROW('DM_TinhThanh'!$B$2)+1/ISNUMBER(SEARCH(SUBSTITUTE(UPPER($Q317)," ",""),'DM_TinhThanh'!$C$2:$C$35)),1)),"Không tìm thấy"))</f>
        <v/>
      </c>
      <c r="Y317" s="5">
        <f>IF($R317="","",IFERROR(INDEX('DM_XaPhuong'!$B$2:$B$169,AGGREGATE(15,6,ROW('DM_XaPhuong'!$B$2:$B$169)-ROW('DM_XaPhuong'!$B$2)+1/ISNUMBER(SEARCH(SUBSTITUTE(UPPER($R317)," ",""),'DM_XaPhuong'!$C$2:$C$169)),1)),"Không tìm thấy"))</f>
        <v/>
      </c>
      <c r="AB317" s="5">
        <f>IF($T317="","",IFERROR(INDEX('DM_NgheNghiep'!$B$2:$B$11,AGGREGATE(15,6,ROW('DM_NgheNghiep'!$B$2:$B$11)-ROW('DM_NgheNghiep'!$B$2)+1/ISNUMBER(SEARCH(SUBSTITUTE(UPPER($T317)," ",""),'DM_NgheNghiep'!$C$2:$C$11)),1)),"Không tìm thấy"))</f>
        <v/>
      </c>
      <c r="AD317" s="5">
        <f>IF($U317="","",IFERROR(INDEX('DM_NoiCongTac'!$B$2:$B$11,AGGREGATE(15,6,ROW('DM_NoiCongTac'!$B$2:$B$11)-ROW('DM_NoiCongTac'!$B$2)+1/ISNUMBER(SEARCH(SUBSTITUTE(UPPER($U317)," ",""),'DM_NoiCongTac'!$C$2:$C$11)),1)),"Không tìm thấy"))</f>
        <v/>
      </c>
      <c r="AF317" s="5">
        <f>IF($V317="","",IFERROR(INDEX('DM_XaPhuong'!$B$2:$B$169,AGGREGATE(15,6,ROW('DM_XaPhuong'!$B$2:$B$169)-ROW('DM_XaPhuong'!$B$2)+1/ISNUMBER(SEARCH(SUBSTITUTE(UPPER($V317)," ",""),'DM_XaPhuong'!$C$2:$C$169)),1)),"Không tìm thấy"))</f>
        <v/>
      </c>
    </row>
    <row r="318">
      <c r="C318" s="5">
        <f>IF($B318="","",IFERROR(INDEX('DM_DoiTuong'!$B$2:$B$19,AGGREGATE(15,6,ROW('DM_DoiTuong'!$B$2:$B$19)-ROW('DM_DoiTuong'!$B$2)+1/ISNUMBER(SEARCH(SUBSTITUTE(UPPER($B318)," ",""),'DM_DoiTuong'!$C$2:$C$19)),1)),"Không tìm thấy"))</f>
        <v/>
      </c>
      <c r="E318" s="5">
        <f>IF($C318="","",IFERROR(INDEX('DM_DiaDiemKham'!$B$2:$B$6,AGGREGATE(15,6,ROW('DM_DiaDiemKham'!$B$2:$B$6)-ROW('DM_DiaDiemKham'!$B$2)+1/ISNUMBER(SEARCH(SUBSTITUTE(UPPER($C318)," ",""),'DM_DiaDiemKham'!$C$2:$C$6)),1)),"Không tìm thấy"))</f>
        <v/>
      </c>
      <c r="G318" s="5">
        <f>IF($D318="","",IFERROR(INDEX('DM_HinhThucChiTra'!$B$2:$B$5,AGGREGATE(15,6,ROW('DM_HinhThucChiTra'!$B$2:$B$5)-ROW('DM_HinhThucChiTra'!$B$2)+1/ISNUMBER(SEARCH(SUBSTITUTE(UPPER($D318)," ",""),'DM_HinhThucChiTra'!$C$2:$C$5)),1)),"Không tìm thấy"))</f>
        <v/>
      </c>
      <c r="I318" s="5">
        <f>IF($E318="","",IFERROR(INDEX('DM_HinhThucKham'!$B$2:$B$3,AGGREGATE(15,6,ROW('DM_HinhThucKham'!$B$2:$B$3)-ROW('DM_HinhThucKham'!$B$2)+1/ISNUMBER(SEARCH(SUBSTITUTE(UPPER($E318)," ",""),'DM_HinhThucKham'!$C$2:$C$3)),1)),"Không tìm thấy"))</f>
        <v/>
      </c>
      <c r="P318" s="5">
        <f>IF($K318="","",IFERROR(INDEX('DM_DanToc'!$B$2:$B$78,AGGREGATE(15,6,ROW('DM_DanToc'!$B$2:$B$78)-ROW('DM_DanToc'!$B$2)+1/ISNUMBER(SEARCH(SUBSTITUTE(UPPER($K318)," ",""),'DM_DanToc'!$C$2:$C$78)),1)),"Không tìm thấy"))</f>
        <v/>
      </c>
      <c r="W318" s="5">
        <f>IF($Q318="","",IFERROR(INDEX('DM_TinhThanh'!$B$2:$B$35,AGGREGATE(15,6,ROW('DM_TinhThanh'!$B$2:$B$35)-ROW('DM_TinhThanh'!$B$2)+1/ISNUMBER(SEARCH(SUBSTITUTE(UPPER($Q318)," ",""),'DM_TinhThanh'!$C$2:$C$35)),1)),"Không tìm thấy"))</f>
        <v/>
      </c>
      <c r="Y318" s="5">
        <f>IF($R318="","",IFERROR(INDEX('DM_XaPhuong'!$B$2:$B$169,AGGREGATE(15,6,ROW('DM_XaPhuong'!$B$2:$B$169)-ROW('DM_XaPhuong'!$B$2)+1/ISNUMBER(SEARCH(SUBSTITUTE(UPPER($R318)," ",""),'DM_XaPhuong'!$C$2:$C$169)),1)),"Không tìm thấy"))</f>
        <v/>
      </c>
      <c r="AB318" s="5">
        <f>IF($T318="","",IFERROR(INDEX('DM_NgheNghiep'!$B$2:$B$11,AGGREGATE(15,6,ROW('DM_NgheNghiep'!$B$2:$B$11)-ROW('DM_NgheNghiep'!$B$2)+1/ISNUMBER(SEARCH(SUBSTITUTE(UPPER($T318)," ",""),'DM_NgheNghiep'!$C$2:$C$11)),1)),"Không tìm thấy"))</f>
        <v/>
      </c>
      <c r="AD318" s="5">
        <f>IF($U318="","",IFERROR(INDEX('DM_NoiCongTac'!$B$2:$B$11,AGGREGATE(15,6,ROW('DM_NoiCongTac'!$B$2:$B$11)-ROW('DM_NoiCongTac'!$B$2)+1/ISNUMBER(SEARCH(SUBSTITUTE(UPPER($U318)," ",""),'DM_NoiCongTac'!$C$2:$C$11)),1)),"Không tìm thấy"))</f>
        <v/>
      </c>
      <c r="AF318" s="5">
        <f>IF($V318="","",IFERROR(INDEX('DM_XaPhuong'!$B$2:$B$169,AGGREGATE(15,6,ROW('DM_XaPhuong'!$B$2:$B$169)-ROW('DM_XaPhuong'!$B$2)+1/ISNUMBER(SEARCH(SUBSTITUTE(UPPER($V318)," ",""),'DM_XaPhuong'!$C$2:$C$169)),1)),"Không tìm thấy"))</f>
        <v/>
      </c>
    </row>
    <row r="319">
      <c r="C319" s="5">
        <f>IF($B319="","",IFERROR(INDEX('DM_DoiTuong'!$B$2:$B$19,AGGREGATE(15,6,ROW('DM_DoiTuong'!$B$2:$B$19)-ROW('DM_DoiTuong'!$B$2)+1/ISNUMBER(SEARCH(SUBSTITUTE(UPPER($B319)," ",""),'DM_DoiTuong'!$C$2:$C$19)),1)),"Không tìm thấy"))</f>
        <v/>
      </c>
      <c r="E319" s="5">
        <f>IF($C319="","",IFERROR(INDEX('DM_DiaDiemKham'!$B$2:$B$6,AGGREGATE(15,6,ROW('DM_DiaDiemKham'!$B$2:$B$6)-ROW('DM_DiaDiemKham'!$B$2)+1/ISNUMBER(SEARCH(SUBSTITUTE(UPPER($C319)," ",""),'DM_DiaDiemKham'!$C$2:$C$6)),1)),"Không tìm thấy"))</f>
        <v/>
      </c>
      <c r="G319" s="5">
        <f>IF($D319="","",IFERROR(INDEX('DM_HinhThucChiTra'!$B$2:$B$5,AGGREGATE(15,6,ROW('DM_HinhThucChiTra'!$B$2:$B$5)-ROW('DM_HinhThucChiTra'!$B$2)+1/ISNUMBER(SEARCH(SUBSTITUTE(UPPER($D319)," ",""),'DM_HinhThucChiTra'!$C$2:$C$5)),1)),"Không tìm thấy"))</f>
        <v/>
      </c>
      <c r="I319" s="5">
        <f>IF($E319="","",IFERROR(INDEX('DM_HinhThucKham'!$B$2:$B$3,AGGREGATE(15,6,ROW('DM_HinhThucKham'!$B$2:$B$3)-ROW('DM_HinhThucKham'!$B$2)+1/ISNUMBER(SEARCH(SUBSTITUTE(UPPER($E319)," ",""),'DM_HinhThucKham'!$C$2:$C$3)),1)),"Không tìm thấy"))</f>
        <v/>
      </c>
      <c r="P319" s="5">
        <f>IF($K319="","",IFERROR(INDEX('DM_DanToc'!$B$2:$B$78,AGGREGATE(15,6,ROW('DM_DanToc'!$B$2:$B$78)-ROW('DM_DanToc'!$B$2)+1/ISNUMBER(SEARCH(SUBSTITUTE(UPPER($K319)," ",""),'DM_DanToc'!$C$2:$C$78)),1)),"Không tìm thấy"))</f>
        <v/>
      </c>
      <c r="W319" s="5">
        <f>IF($Q319="","",IFERROR(INDEX('DM_TinhThanh'!$B$2:$B$35,AGGREGATE(15,6,ROW('DM_TinhThanh'!$B$2:$B$35)-ROW('DM_TinhThanh'!$B$2)+1/ISNUMBER(SEARCH(SUBSTITUTE(UPPER($Q319)," ",""),'DM_TinhThanh'!$C$2:$C$35)),1)),"Không tìm thấy"))</f>
        <v/>
      </c>
      <c r="Y319" s="5">
        <f>IF($R319="","",IFERROR(INDEX('DM_XaPhuong'!$B$2:$B$169,AGGREGATE(15,6,ROW('DM_XaPhuong'!$B$2:$B$169)-ROW('DM_XaPhuong'!$B$2)+1/ISNUMBER(SEARCH(SUBSTITUTE(UPPER($R319)," ",""),'DM_XaPhuong'!$C$2:$C$169)),1)),"Không tìm thấy"))</f>
        <v/>
      </c>
      <c r="AB319" s="5">
        <f>IF($T319="","",IFERROR(INDEX('DM_NgheNghiep'!$B$2:$B$11,AGGREGATE(15,6,ROW('DM_NgheNghiep'!$B$2:$B$11)-ROW('DM_NgheNghiep'!$B$2)+1/ISNUMBER(SEARCH(SUBSTITUTE(UPPER($T319)," ",""),'DM_NgheNghiep'!$C$2:$C$11)),1)),"Không tìm thấy"))</f>
        <v/>
      </c>
      <c r="AD319" s="5">
        <f>IF($U319="","",IFERROR(INDEX('DM_NoiCongTac'!$B$2:$B$11,AGGREGATE(15,6,ROW('DM_NoiCongTac'!$B$2:$B$11)-ROW('DM_NoiCongTac'!$B$2)+1/ISNUMBER(SEARCH(SUBSTITUTE(UPPER($U319)," ",""),'DM_NoiCongTac'!$C$2:$C$11)),1)),"Không tìm thấy"))</f>
        <v/>
      </c>
      <c r="AF319" s="5">
        <f>IF($V319="","",IFERROR(INDEX('DM_XaPhuong'!$B$2:$B$169,AGGREGATE(15,6,ROW('DM_XaPhuong'!$B$2:$B$169)-ROW('DM_XaPhuong'!$B$2)+1/ISNUMBER(SEARCH(SUBSTITUTE(UPPER($V319)," ",""),'DM_XaPhuong'!$C$2:$C$169)),1)),"Không tìm thấy"))</f>
        <v/>
      </c>
    </row>
    <row r="320">
      <c r="C320" s="5">
        <f>IF($B320="","",IFERROR(INDEX('DM_DoiTuong'!$B$2:$B$19,AGGREGATE(15,6,ROW('DM_DoiTuong'!$B$2:$B$19)-ROW('DM_DoiTuong'!$B$2)+1/ISNUMBER(SEARCH(SUBSTITUTE(UPPER($B320)," ",""),'DM_DoiTuong'!$C$2:$C$19)),1)),"Không tìm thấy"))</f>
        <v/>
      </c>
      <c r="E320" s="5">
        <f>IF($C320="","",IFERROR(INDEX('DM_DiaDiemKham'!$B$2:$B$6,AGGREGATE(15,6,ROW('DM_DiaDiemKham'!$B$2:$B$6)-ROW('DM_DiaDiemKham'!$B$2)+1/ISNUMBER(SEARCH(SUBSTITUTE(UPPER($C320)," ",""),'DM_DiaDiemKham'!$C$2:$C$6)),1)),"Không tìm thấy"))</f>
        <v/>
      </c>
      <c r="G320" s="5">
        <f>IF($D320="","",IFERROR(INDEX('DM_HinhThucChiTra'!$B$2:$B$5,AGGREGATE(15,6,ROW('DM_HinhThucChiTra'!$B$2:$B$5)-ROW('DM_HinhThucChiTra'!$B$2)+1/ISNUMBER(SEARCH(SUBSTITUTE(UPPER($D320)," ",""),'DM_HinhThucChiTra'!$C$2:$C$5)),1)),"Không tìm thấy"))</f>
        <v/>
      </c>
      <c r="I320" s="5">
        <f>IF($E320="","",IFERROR(INDEX('DM_HinhThucKham'!$B$2:$B$3,AGGREGATE(15,6,ROW('DM_HinhThucKham'!$B$2:$B$3)-ROW('DM_HinhThucKham'!$B$2)+1/ISNUMBER(SEARCH(SUBSTITUTE(UPPER($E320)," ",""),'DM_HinhThucKham'!$C$2:$C$3)),1)),"Không tìm thấy"))</f>
        <v/>
      </c>
      <c r="P320" s="5">
        <f>IF($K320="","",IFERROR(INDEX('DM_DanToc'!$B$2:$B$78,AGGREGATE(15,6,ROW('DM_DanToc'!$B$2:$B$78)-ROW('DM_DanToc'!$B$2)+1/ISNUMBER(SEARCH(SUBSTITUTE(UPPER($K320)," ",""),'DM_DanToc'!$C$2:$C$78)),1)),"Không tìm thấy"))</f>
        <v/>
      </c>
      <c r="W320" s="5">
        <f>IF($Q320="","",IFERROR(INDEX('DM_TinhThanh'!$B$2:$B$35,AGGREGATE(15,6,ROW('DM_TinhThanh'!$B$2:$B$35)-ROW('DM_TinhThanh'!$B$2)+1/ISNUMBER(SEARCH(SUBSTITUTE(UPPER($Q320)," ",""),'DM_TinhThanh'!$C$2:$C$35)),1)),"Không tìm thấy"))</f>
        <v/>
      </c>
      <c r="Y320" s="5">
        <f>IF($R320="","",IFERROR(INDEX('DM_XaPhuong'!$B$2:$B$169,AGGREGATE(15,6,ROW('DM_XaPhuong'!$B$2:$B$169)-ROW('DM_XaPhuong'!$B$2)+1/ISNUMBER(SEARCH(SUBSTITUTE(UPPER($R320)," ",""),'DM_XaPhuong'!$C$2:$C$169)),1)),"Không tìm thấy"))</f>
        <v/>
      </c>
      <c r="AB320" s="5">
        <f>IF($T320="","",IFERROR(INDEX('DM_NgheNghiep'!$B$2:$B$11,AGGREGATE(15,6,ROW('DM_NgheNghiep'!$B$2:$B$11)-ROW('DM_NgheNghiep'!$B$2)+1/ISNUMBER(SEARCH(SUBSTITUTE(UPPER($T320)," ",""),'DM_NgheNghiep'!$C$2:$C$11)),1)),"Không tìm thấy"))</f>
        <v/>
      </c>
      <c r="AD320" s="5">
        <f>IF($U320="","",IFERROR(INDEX('DM_NoiCongTac'!$B$2:$B$11,AGGREGATE(15,6,ROW('DM_NoiCongTac'!$B$2:$B$11)-ROW('DM_NoiCongTac'!$B$2)+1/ISNUMBER(SEARCH(SUBSTITUTE(UPPER($U320)," ",""),'DM_NoiCongTac'!$C$2:$C$11)),1)),"Không tìm thấy"))</f>
        <v/>
      </c>
      <c r="AF320" s="5">
        <f>IF($V320="","",IFERROR(INDEX('DM_XaPhuong'!$B$2:$B$169,AGGREGATE(15,6,ROW('DM_XaPhuong'!$B$2:$B$169)-ROW('DM_XaPhuong'!$B$2)+1/ISNUMBER(SEARCH(SUBSTITUTE(UPPER($V320)," ",""),'DM_XaPhuong'!$C$2:$C$169)),1)),"Không tìm thấy"))</f>
        <v/>
      </c>
    </row>
    <row r="321">
      <c r="C321" s="5">
        <f>IF($B321="","",IFERROR(INDEX('DM_DoiTuong'!$B$2:$B$19,AGGREGATE(15,6,ROW('DM_DoiTuong'!$B$2:$B$19)-ROW('DM_DoiTuong'!$B$2)+1/ISNUMBER(SEARCH(SUBSTITUTE(UPPER($B321)," ",""),'DM_DoiTuong'!$C$2:$C$19)),1)),"Không tìm thấy"))</f>
        <v/>
      </c>
      <c r="E321" s="5">
        <f>IF($C321="","",IFERROR(INDEX('DM_DiaDiemKham'!$B$2:$B$6,AGGREGATE(15,6,ROW('DM_DiaDiemKham'!$B$2:$B$6)-ROW('DM_DiaDiemKham'!$B$2)+1/ISNUMBER(SEARCH(SUBSTITUTE(UPPER($C321)," ",""),'DM_DiaDiemKham'!$C$2:$C$6)),1)),"Không tìm thấy"))</f>
        <v/>
      </c>
      <c r="G321" s="5">
        <f>IF($D321="","",IFERROR(INDEX('DM_HinhThucChiTra'!$B$2:$B$5,AGGREGATE(15,6,ROW('DM_HinhThucChiTra'!$B$2:$B$5)-ROW('DM_HinhThucChiTra'!$B$2)+1/ISNUMBER(SEARCH(SUBSTITUTE(UPPER($D321)," ",""),'DM_HinhThucChiTra'!$C$2:$C$5)),1)),"Không tìm thấy"))</f>
        <v/>
      </c>
      <c r="I321" s="5">
        <f>IF($E321="","",IFERROR(INDEX('DM_HinhThucKham'!$B$2:$B$3,AGGREGATE(15,6,ROW('DM_HinhThucKham'!$B$2:$B$3)-ROW('DM_HinhThucKham'!$B$2)+1/ISNUMBER(SEARCH(SUBSTITUTE(UPPER($E321)," ",""),'DM_HinhThucKham'!$C$2:$C$3)),1)),"Không tìm thấy"))</f>
        <v/>
      </c>
      <c r="P321" s="5">
        <f>IF($K321="","",IFERROR(INDEX('DM_DanToc'!$B$2:$B$78,AGGREGATE(15,6,ROW('DM_DanToc'!$B$2:$B$78)-ROW('DM_DanToc'!$B$2)+1/ISNUMBER(SEARCH(SUBSTITUTE(UPPER($K321)," ",""),'DM_DanToc'!$C$2:$C$78)),1)),"Không tìm thấy"))</f>
        <v/>
      </c>
      <c r="W321" s="5">
        <f>IF($Q321="","",IFERROR(INDEX('DM_TinhThanh'!$B$2:$B$35,AGGREGATE(15,6,ROW('DM_TinhThanh'!$B$2:$B$35)-ROW('DM_TinhThanh'!$B$2)+1/ISNUMBER(SEARCH(SUBSTITUTE(UPPER($Q321)," ",""),'DM_TinhThanh'!$C$2:$C$35)),1)),"Không tìm thấy"))</f>
        <v/>
      </c>
      <c r="Y321" s="5">
        <f>IF($R321="","",IFERROR(INDEX('DM_XaPhuong'!$B$2:$B$169,AGGREGATE(15,6,ROW('DM_XaPhuong'!$B$2:$B$169)-ROW('DM_XaPhuong'!$B$2)+1/ISNUMBER(SEARCH(SUBSTITUTE(UPPER($R321)," ",""),'DM_XaPhuong'!$C$2:$C$169)),1)),"Không tìm thấy"))</f>
        <v/>
      </c>
      <c r="AB321" s="5">
        <f>IF($T321="","",IFERROR(INDEX('DM_NgheNghiep'!$B$2:$B$11,AGGREGATE(15,6,ROW('DM_NgheNghiep'!$B$2:$B$11)-ROW('DM_NgheNghiep'!$B$2)+1/ISNUMBER(SEARCH(SUBSTITUTE(UPPER($T321)," ",""),'DM_NgheNghiep'!$C$2:$C$11)),1)),"Không tìm thấy"))</f>
        <v/>
      </c>
      <c r="AD321" s="5">
        <f>IF($U321="","",IFERROR(INDEX('DM_NoiCongTac'!$B$2:$B$11,AGGREGATE(15,6,ROW('DM_NoiCongTac'!$B$2:$B$11)-ROW('DM_NoiCongTac'!$B$2)+1/ISNUMBER(SEARCH(SUBSTITUTE(UPPER($U321)," ",""),'DM_NoiCongTac'!$C$2:$C$11)),1)),"Không tìm thấy"))</f>
        <v/>
      </c>
      <c r="AF321" s="5">
        <f>IF($V321="","",IFERROR(INDEX('DM_XaPhuong'!$B$2:$B$169,AGGREGATE(15,6,ROW('DM_XaPhuong'!$B$2:$B$169)-ROW('DM_XaPhuong'!$B$2)+1/ISNUMBER(SEARCH(SUBSTITUTE(UPPER($V321)," ",""),'DM_XaPhuong'!$C$2:$C$169)),1)),"Không tìm thấy"))</f>
        <v/>
      </c>
    </row>
    <row r="322">
      <c r="C322" s="5">
        <f>IF($B322="","",IFERROR(INDEX('DM_DoiTuong'!$B$2:$B$19,AGGREGATE(15,6,ROW('DM_DoiTuong'!$B$2:$B$19)-ROW('DM_DoiTuong'!$B$2)+1/ISNUMBER(SEARCH(SUBSTITUTE(UPPER($B322)," ",""),'DM_DoiTuong'!$C$2:$C$19)),1)),"Không tìm thấy"))</f>
        <v/>
      </c>
      <c r="E322" s="5">
        <f>IF($C322="","",IFERROR(INDEX('DM_DiaDiemKham'!$B$2:$B$6,AGGREGATE(15,6,ROW('DM_DiaDiemKham'!$B$2:$B$6)-ROW('DM_DiaDiemKham'!$B$2)+1/ISNUMBER(SEARCH(SUBSTITUTE(UPPER($C322)," ",""),'DM_DiaDiemKham'!$C$2:$C$6)),1)),"Không tìm thấy"))</f>
        <v/>
      </c>
      <c r="G322" s="5">
        <f>IF($D322="","",IFERROR(INDEX('DM_HinhThucChiTra'!$B$2:$B$5,AGGREGATE(15,6,ROW('DM_HinhThucChiTra'!$B$2:$B$5)-ROW('DM_HinhThucChiTra'!$B$2)+1/ISNUMBER(SEARCH(SUBSTITUTE(UPPER($D322)," ",""),'DM_HinhThucChiTra'!$C$2:$C$5)),1)),"Không tìm thấy"))</f>
        <v/>
      </c>
      <c r="I322" s="5">
        <f>IF($E322="","",IFERROR(INDEX('DM_HinhThucKham'!$B$2:$B$3,AGGREGATE(15,6,ROW('DM_HinhThucKham'!$B$2:$B$3)-ROW('DM_HinhThucKham'!$B$2)+1/ISNUMBER(SEARCH(SUBSTITUTE(UPPER($E322)," ",""),'DM_HinhThucKham'!$C$2:$C$3)),1)),"Không tìm thấy"))</f>
        <v/>
      </c>
      <c r="P322" s="5">
        <f>IF($K322="","",IFERROR(INDEX('DM_DanToc'!$B$2:$B$78,AGGREGATE(15,6,ROW('DM_DanToc'!$B$2:$B$78)-ROW('DM_DanToc'!$B$2)+1/ISNUMBER(SEARCH(SUBSTITUTE(UPPER($K322)," ",""),'DM_DanToc'!$C$2:$C$78)),1)),"Không tìm thấy"))</f>
        <v/>
      </c>
      <c r="W322" s="5">
        <f>IF($Q322="","",IFERROR(INDEX('DM_TinhThanh'!$B$2:$B$35,AGGREGATE(15,6,ROW('DM_TinhThanh'!$B$2:$B$35)-ROW('DM_TinhThanh'!$B$2)+1/ISNUMBER(SEARCH(SUBSTITUTE(UPPER($Q322)," ",""),'DM_TinhThanh'!$C$2:$C$35)),1)),"Không tìm thấy"))</f>
        <v/>
      </c>
      <c r="Y322" s="5">
        <f>IF($R322="","",IFERROR(INDEX('DM_XaPhuong'!$B$2:$B$169,AGGREGATE(15,6,ROW('DM_XaPhuong'!$B$2:$B$169)-ROW('DM_XaPhuong'!$B$2)+1/ISNUMBER(SEARCH(SUBSTITUTE(UPPER($R322)," ",""),'DM_XaPhuong'!$C$2:$C$169)),1)),"Không tìm thấy"))</f>
        <v/>
      </c>
      <c r="AB322" s="5">
        <f>IF($T322="","",IFERROR(INDEX('DM_NgheNghiep'!$B$2:$B$11,AGGREGATE(15,6,ROW('DM_NgheNghiep'!$B$2:$B$11)-ROW('DM_NgheNghiep'!$B$2)+1/ISNUMBER(SEARCH(SUBSTITUTE(UPPER($T322)," ",""),'DM_NgheNghiep'!$C$2:$C$11)),1)),"Không tìm thấy"))</f>
        <v/>
      </c>
      <c r="AD322" s="5">
        <f>IF($U322="","",IFERROR(INDEX('DM_NoiCongTac'!$B$2:$B$11,AGGREGATE(15,6,ROW('DM_NoiCongTac'!$B$2:$B$11)-ROW('DM_NoiCongTac'!$B$2)+1/ISNUMBER(SEARCH(SUBSTITUTE(UPPER($U322)," ",""),'DM_NoiCongTac'!$C$2:$C$11)),1)),"Không tìm thấy"))</f>
        <v/>
      </c>
      <c r="AF322" s="5">
        <f>IF($V322="","",IFERROR(INDEX('DM_XaPhuong'!$B$2:$B$169,AGGREGATE(15,6,ROW('DM_XaPhuong'!$B$2:$B$169)-ROW('DM_XaPhuong'!$B$2)+1/ISNUMBER(SEARCH(SUBSTITUTE(UPPER($V322)," ",""),'DM_XaPhuong'!$C$2:$C$169)),1)),"Không tìm thấy"))</f>
        <v/>
      </c>
    </row>
    <row r="323">
      <c r="C323" s="5">
        <f>IF($B323="","",IFERROR(INDEX('DM_DoiTuong'!$B$2:$B$19,AGGREGATE(15,6,ROW('DM_DoiTuong'!$B$2:$B$19)-ROW('DM_DoiTuong'!$B$2)+1/ISNUMBER(SEARCH(SUBSTITUTE(UPPER($B323)," ",""),'DM_DoiTuong'!$C$2:$C$19)),1)),"Không tìm thấy"))</f>
        <v/>
      </c>
      <c r="E323" s="5">
        <f>IF($C323="","",IFERROR(INDEX('DM_DiaDiemKham'!$B$2:$B$6,AGGREGATE(15,6,ROW('DM_DiaDiemKham'!$B$2:$B$6)-ROW('DM_DiaDiemKham'!$B$2)+1/ISNUMBER(SEARCH(SUBSTITUTE(UPPER($C323)," ",""),'DM_DiaDiemKham'!$C$2:$C$6)),1)),"Không tìm thấy"))</f>
        <v/>
      </c>
      <c r="G323" s="5">
        <f>IF($D323="","",IFERROR(INDEX('DM_HinhThucChiTra'!$B$2:$B$5,AGGREGATE(15,6,ROW('DM_HinhThucChiTra'!$B$2:$B$5)-ROW('DM_HinhThucChiTra'!$B$2)+1/ISNUMBER(SEARCH(SUBSTITUTE(UPPER($D323)," ",""),'DM_HinhThucChiTra'!$C$2:$C$5)),1)),"Không tìm thấy"))</f>
        <v/>
      </c>
      <c r="I323" s="5">
        <f>IF($E323="","",IFERROR(INDEX('DM_HinhThucKham'!$B$2:$B$3,AGGREGATE(15,6,ROW('DM_HinhThucKham'!$B$2:$B$3)-ROW('DM_HinhThucKham'!$B$2)+1/ISNUMBER(SEARCH(SUBSTITUTE(UPPER($E323)," ",""),'DM_HinhThucKham'!$C$2:$C$3)),1)),"Không tìm thấy"))</f>
        <v/>
      </c>
      <c r="P323" s="5">
        <f>IF($K323="","",IFERROR(INDEX('DM_DanToc'!$B$2:$B$78,AGGREGATE(15,6,ROW('DM_DanToc'!$B$2:$B$78)-ROW('DM_DanToc'!$B$2)+1/ISNUMBER(SEARCH(SUBSTITUTE(UPPER($K323)," ",""),'DM_DanToc'!$C$2:$C$78)),1)),"Không tìm thấy"))</f>
        <v/>
      </c>
      <c r="W323" s="5">
        <f>IF($Q323="","",IFERROR(INDEX('DM_TinhThanh'!$B$2:$B$35,AGGREGATE(15,6,ROW('DM_TinhThanh'!$B$2:$B$35)-ROW('DM_TinhThanh'!$B$2)+1/ISNUMBER(SEARCH(SUBSTITUTE(UPPER($Q323)," ",""),'DM_TinhThanh'!$C$2:$C$35)),1)),"Không tìm thấy"))</f>
        <v/>
      </c>
      <c r="Y323" s="5">
        <f>IF($R323="","",IFERROR(INDEX('DM_XaPhuong'!$B$2:$B$169,AGGREGATE(15,6,ROW('DM_XaPhuong'!$B$2:$B$169)-ROW('DM_XaPhuong'!$B$2)+1/ISNUMBER(SEARCH(SUBSTITUTE(UPPER($R323)," ",""),'DM_XaPhuong'!$C$2:$C$169)),1)),"Không tìm thấy"))</f>
        <v/>
      </c>
      <c r="AB323" s="5">
        <f>IF($T323="","",IFERROR(INDEX('DM_NgheNghiep'!$B$2:$B$11,AGGREGATE(15,6,ROW('DM_NgheNghiep'!$B$2:$B$11)-ROW('DM_NgheNghiep'!$B$2)+1/ISNUMBER(SEARCH(SUBSTITUTE(UPPER($T323)," ",""),'DM_NgheNghiep'!$C$2:$C$11)),1)),"Không tìm thấy"))</f>
        <v/>
      </c>
      <c r="AD323" s="5">
        <f>IF($U323="","",IFERROR(INDEX('DM_NoiCongTac'!$B$2:$B$11,AGGREGATE(15,6,ROW('DM_NoiCongTac'!$B$2:$B$11)-ROW('DM_NoiCongTac'!$B$2)+1/ISNUMBER(SEARCH(SUBSTITUTE(UPPER($U323)," ",""),'DM_NoiCongTac'!$C$2:$C$11)),1)),"Không tìm thấy"))</f>
        <v/>
      </c>
      <c r="AF323" s="5">
        <f>IF($V323="","",IFERROR(INDEX('DM_XaPhuong'!$B$2:$B$169,AGGREGATE(15,6,ROW('DM_XaPhuong'!$B$2:$B$169)-ROW('DM_XaPhuong'!$B$2)+1/ISNUMBER(SEARCH(SUBSTITUTE(UPPER($V323)," ",""),'DM_XaPhuong'!$C$2:$C$169)),1)),"Không tìm thấy"))</f>
        <v/>
      </c>
    </row>
    <row r="324">
      <c r="C324" s="5">
        <f>IF($B324="","",IFERROR(INDEX('DM_DoiTuong'!$B$2:$B$19,AGGREGATE(15,6,ROW('DM_DoiTuong'!$B$2:$B$19)-ROW('DM_DoiTuong'!$B$2)+1/ISNUMBER(SEARCH(SUBSTITUTE(UPPER($B324)," ",""),'DM_DoiTuong'!$C$2:$C$19)),1)),"Không tìm thấy"))</f>
        <v/>
      </c>
      <c r="E324" s="5">
        <f>IF($C324="","",IFERROR(INDEX('DM_DiaDiemKham'!$B$2:$B$6,AGGREGATE(15,6,ROW('DM_DiaDiemKham'!$B$2:$B$6)-ROW('DM_DiaDiemKham'!$B$2)+1/ISNUMBER(SEARCH(SUBSTITUTE(UPPER($C324)," ",""),'DM_DiaDiemKham'!$C$2:$C$6)),1)),"Không tìm thấy"))</f>
        <v/>
      </c>
      <c r="G324" s="5">
        <f>IF($D324="","",IFERROR(INDEX('DM_HinhThucChiTra'!$B$2:$B$5,AGGREGATE(15,6,ROW('DM_HinhThucChiTra'!$B$2:$B$5)-ROW('DM_HinhThucChiTra'!$B$2)+1/ISNUMBER(SEARCH(SUBSTITUTE(UPPER($D324)," ",""),'DM_HinhThucChiTra'!$C$2:$C$5)),1)),"Không tìm thấy"))</f>
        <v/>
      </c>
      <c r="I324" s="5">
        <f>IF($E324="","",IFERROR(INDEX('DM_HinhThucKham'!$B$2:$B$3,AGGREGATE(15,6,ROW('DM_HinhThucKham'!$B$2:$B$3)-ROW('DM_HinhThucKham'!$B$2)+1/ISNUMBER(SEARCH(SUBSTITUTE(UPPER($E324)," ",""),'DM_HinhThucKham'!$C$2:$C$3)),1)),"Không tìm thấy"))</f>
        <v/>
      </c>
      <c r="P324" s="5">
        <f>IF($K324="","",IFERROR(INDEX('DM_DanToc'!$B$2:$B$78,AGGREGATE(15,6,ROW('DM_DanToc'!$B$2:$B$78)-ROW('DM_DanToc'!$B$2)+1/ISNUMBER(SEARCH(SUBSTITUTE(UPPER($K324)," ",""),'DM_DanToc'!$C$2:$C$78)),1)),"Không tìm thấy"))</f>
        <v/>
      </c>
      <c r="W324" s="5">
        <f>IF($Q324="","",IFERROR(INDEX('DM_TinhThanh'!$B$2:$B$35,AGGREGATE(15,6,ROW('DM_TinhThanh'!$B$2:$B$35)-ROW('DM_TinhThanh'!$B$2)+1/ISNUMBER(SEARCH(SUBSTITUTE(UPPER($Q324)," ",""),'DM_TinhThanh'!$C$2:$C$35)),1)),"Không tìm thấy"))</f>
        <v/>
      </c>
      <c r="Y324" s="5">
        <f>IF($R324="","",IFERROR(INDEX('DM_XaPhuong'!$B$2:$B$169,AGGREGATE(15,6,ROW('DM_XaPhuong'!$B$2:$B$169)-ROW('DM_XaPhuong'!$B$2)+1/ISNUMBER(SEARCH(SUBSTITUTE(UPPER($R324)," ",""),'DM_XaPhuong'!$C$2:$C$169)),1)),"Không tìm thấy"))</f>
        <v/>
      </c>
      <c r="AB324" s="5">
        <f>IF($T324="","",IFERROR(INDEX('DM_NgheNghiep'!$B$2:$B$11,AGGREGATE(15,6,ROW('DM_NgheNghiep'!$B$2:$B$11)-ROW('DM_NgheNghiep'!$B$2)+1/ISNUMBER(SEARCH(SUBSTITUTE(UPPER($T324)," ",""),'DM_NgheNghiep'!$C$2:$C$11)),1)),"Không tìm thấy"))</f>
        <v/>
      </c>
      <c r="AD324" s="5">
        <f>IF($U324="","",IFERROR(INDEX('DM_NoiCongTac'!$B$2:$B$11,AGGREGATE(15,6,ROW('DM_NoiCongTac'!$B$2:$B$11)-ROW('DM_NoiCongTac'!$B$2)+1/ISNUMBER(SEARCH(SUBSTITUTE(UPPER($U324)," ",""),'DM_NoiCongTac'!$C$2:$C$11)),1)),"Không tìm thấy"))</f>
        <v/>
      </c>
      <c r="AF324" s="5">
        <f>IF($V324="","",IFERROR(INDEX('DM_XaPhuong'!$B$2:$B$169,AGGREGATE(15,6,ROW('DM_XaPhuong'!$B$2:$B$169)-ROW('DM_XaPhuong'!$B$2)+1/ISNUMBER(SEARCH(SUBSTITUTE(UPPER($V324)," ",""),'DM_XaPhuong'!$C$2:$C$169)),1)),"Không tìm thấy"))</f>
        <v/>
      </c>
    </row>
    <row r="325">
      <c r="C325" s="5">
        <f>IF($B325="","",IFERROR(INDEX('DM_DoiTuong'!$B$2:$B$19,AGGREGATE(15,6,ROW('DM_DoiTuong'!$B$2:$B$19)-ROW('DM_DoiTuong'!$B$2)+1/ISNUMBER(SEARCH(SUBSTITUTE(UPPER($B325)," ",""),'DM_DoiTuong'!$C$2:$C$19)),1)),"Không tìm thấy"))</f>
        <v/>
      </c>
      <c r="E325" s="5">
        <f>IF($C325="","",IFERROR(INDEX('DM_DiaDiemKham'!$B$2:$B$6,AGGREGATE(15,6,ROW('DM_DiaDiemKham'!$B$2:$B$6)-ROW('DM_DiaDiemKham'!$B$2)+1/ISNUMBER(SEARCH(SUBSTITUTE(UPPER($C325)," ",""),'DM_DiaDiemKham'!$C$2:$C$6)),1)),"Không tìm thấy"))</f>
        <v/>
      </c>
      <c r="G325" s="5">
        <f>IF($D325="","",IFERROR(INDEX('DM_HinhThucChiTra'!$B$2:$B$5,AGGREGATE(15,6,ROW('DM_HinhThucChiTra'!$B$2:$B$5)-ROW('DM_HinhThucChiTra'!$B$2)+1/ISNUMBER(SEARCH(SUBSTITUTE(UPPER($D325)," ",""),'DM_HinhThucChiTra'!$C$2:$C$5)),1)),"Không tìm thấy"))</f>
        <v/>
      </c>
      <c r="I325" s="5">
        <f>IF($E325="","",IFERROR(INDEX('DM_HinhThucKham'!$B$2:$B$3,AGGREGATE(15,6,ROW('DM_HinhThucKham'!$B$2:$B$3)-ROW('DM_HinhThucKham'!$B$2)+1/ISNUMBER(SEARCH(SUBSTITUTE(UPPER($E325)," ",""),'DM_HinhThucKham'!$C$2:$C$3)),1)),"Không tìm thấy"))</f>
        <v/>
      </c>
      <c r="P325" s="5">
        <f>IF($K325="","",IFERROR(INDEX('DM_DanToc'!$B$2:$B$78,AGGREGATE(15,6,ROW('DM_DanToc'!$B$2:$B$78)-ROW('DM_DanToc'!$B$2)+1/ISNUMBER(SEARCH(SUBSTITUTE(UPPER($K325)," ",""),'DM_DanToc'!$C$2:$C$78)),1)),"Không tìm thấy"))</f>
        <v/>
      </c>
      <c r="W325" s="5">
        <f>IF($Q325="","",IFERROR(INDEX('DM_TinhThanh'!$B$2:$B$35,AGGREGATE(15,6,ROW('DM_TinhThanh'!$B$2:$B$35)-ROW('DM_TinhThanh'!$B$2)+1/ISNUMBER(SEARCH(SUBSTITUTE(UPPER($Q325)," ",""),'DM_TinhThanh'!$C$2:$C$35)),1)),"Không tìm thấy"))</f>
        <v/>
      </c>
      <c r="Y325" s="5">
        <f>IF($R325="","",IFERROR(INDEX('DM_XaPhuong'!$B$2:$B$169,AGGREGATE(15,6,ROW('DM_XaPhuong'!$B$2:$B$169)-ROW('DM_XaPhuong'!$B$2)+1/ISNUMBER(SEARCH(SUBSTITUTE(UPPER($R325)," ",""),'DM_XaPhuong'!$C$2:$C$169)),1)),"Không tìm thấy"))</f>
        <v/>
      </c>
      <c r="AB325" s="5">
        <f>IF($T325="","",IFERROR(INDEX('DM_NgheNghiep'!$B$2:$B$11,AGGREGATE(15,6,ROW('DM_NgheNghiep'!$B$2:$B$11)-ROW('DM_NgheNghiep'!$B$2)+1/ISNUMBER(SEARCH(SUBSTITUTE(UPPER($T325)," ",""),'DM_NgheNghiep'!$C$2:$C$11)),1)),"Không tìm thấy"))</f>
        <v/>
      </c>
      <c r="AD325" s="5">
        <f>IF($U325="","",IFERROR(INDEX('DM_NoiCongTac'!$B$2:$B$11,AGGREGATE(15,6,ROW('DM_NoiCongTac'!$B$2:$B$11)-ROW('DM_NoiCongTac'!$B$2)+1/ISNUMBER(SEARCH(SUBSTITUTE(UPPER($U325)," ",""),'DM_NoiCongTac'!$C$2:$C$11)),1)),"Không tìm thấy"))</f>
        <v/>
      </c>
      <c r="AF325" s="5">
        <f>IF($V325="","",IFERROR(INDEX('DM_XaPhuong'!$B$2:$B$169,AGGREGATE(15,6,ROW('DM_XaPhuong'!$B$2:$B$169)-ROW('DM_XaPhuong'!$B$2)+1/ISNUMBER(SEARCH(SUBSTITUTE(UPPER($V325)," ",""),'DM_XaPhuong'!$C$2:$C$169)),1)),"Không tìm thấy"))</f>
        <v/>
      </c>
    </row>
    <row r="326">
      <c r="C326" s="5">
        <f>IF($B326="","",IFERROR(INDEX('DM_DoiTuong'!$B$2:$B$19,AGGREGATE(15,6,ROW('DM_DoiTuong'!$B$2:$B$19)-ROW('DM_DoiTuong'!$B$2)+1/ISNUMBER(SEARCH(SUBSTITUTE(UPPER($B326)," ",""),'DM_DoiTuong'!$C$2:$C$19)),1)),"Không tìm thấy"))</f>
        <v/>
      </c>
      <c r="E326" s="5">
        <f>IF($C326="","",IFERROR(INDEX('DM_DiaDiemKham'!$B$2:$B$6,AGGREGATE(15,6,ROW('DM_DiaDiemKham'!$B$2:$B$6)-ROW('DM_DiaDiemKham'!$B$2)+1/ISNUMBER(SEARCH(SUBSTITUTE(UPPER($C326)," ",""),'DM_DiaDiemKham'!$C$2:$C$6)),1)),"Không tìm thấy"))</f>
        <v/>
      </c>
      <c r="G326" s="5">
        <f>IF($D326="","",IFERROR(INDEX('DM_HinhThucChiTra'!$B$2:$B$5,AGGREGATE(15,6,ROW('DM_HinhThucChiTra'!$B$2:$B$5)-ROW('DM_HinhThucChiTra'!$B$2)+1/ISNUMBER(SEARCH(SUBSTITUTE(UPPER($D326)," ",""),'DM_HinhThucChiTra'!$C$2:$C$5)),1)),"Không tìm thấy"))</f>
        <v/>
      </c>
      <c r="I326" s="5">
        <f>IF($E326="","",IFERROR(INDEX('DM_HinhThucKham'!$B$2:$B$3,AGGREGATE(15,6,ROW('DM_HinhThucKham'!$B$2:$B$3)-ROW('DM_HinhThucKham'!$B$2)+1/ISNUMBER(SEARCH(SUBSTITUTE(UPPER($E326)," ",""),'DM_HinhThucKham'!$C$2:$C$3)),1)),"Không tìm thấy"))</f>
        <v/>
      </c>
      <c r="P326" s="5">
        <f>IF($K326="","",IFERROR(INDEX('DM_DanToc'!$B$2:$B$78,AGGREGATE(15,6,ROW('DM_DanToc'!$B$2:$B$78)-ROW('DM_DanToc'!$B$2)+1/ISNUMBER(SEARCH(SUBSTITUTE(UPPER($K326)," ",""),'DM_DanToc'!$C$2:$C$78)),1)),"Không tìm thấy"))</f>
        <v/>
      </c>
      <c r="W326" s="5">
        <f>IF($Q326="","",IFERROR(INDEX('DM_TinhThanh'!$B$2:$B$35,AGGREGATE(15,6,ROW('DM_TinhThanh'!$B$2:$B$35)-ROW('DM_TinhThanh'!$B$2)+1/ISNUMBER(SEARCH(SUBSTITUTE(UPPER($Q326)," ",""),'DM_TinhThanh'!$C$2:$C$35)),1)),"Không tìm thấy"))</f>
        <v/>
      </c>
      <c r="Y326" s="5">
        <f>IF($R326="","",IFERROR(INDEX('DM_XaPhuong'!$B$2:$B$169,AGGREGATE(15,6,ROW('DM_XaPhuong'!$B$2:$B$169)-ROW('DM_XaPhuong'!$B$2)+1/ISNUMBER(SEARCH(SUBSTITUTE(UPPER($R326)," ",""),'DM_XaPhuong'!$C$2:$C$169)),1)),"Không tìm thấy"))</f>
        <v/>
      </c>
      <c r="AB326" s="5">
        <f>IF($T326="","",IFERROR(INDEX('DM_NgheNghiep'!$B$2:$B$11,AGGREGATE(15,6,ROW('DM_NgheNghiep'!$B$2:$B$11)-ROW('DM_NgheNghiep'!$B$2)+1/ISNUMBER(SEARCH(SUBSTITUTE(UPPER($T326)," ",""),'DM_NgheNghiep'!$C$2:$C$11)),1)),"Không tìm thấy"))</f>
        <v/>
      </c>
      <c r="AD326" s="5">
        <f>IF($U326="","",IFERROR(INDEX('DM_NoiCongTac'!$B$2:$B$11,AGGREGATE(15,6,ROW('DM_NoiCongTac'!$B$2:$B$11)-ROW('DM_NoiCongTac'!$B$2)+1/ISNUMBER(SEARCH(SUBSTITUTE(UPPER($U326)," ",""),'DM_NoiCongTac'!$C$2:$C$11)),1)),"Không tìm thấy"))</f>
        <v/>
      </c>
      <c r="AF326" s="5">
        <f>IF($V326="","",IFERROR(INDEX('DM_XaPhuong'!$B$2:$B$169,AGGREGATE(15,6,ROW('DM_XaPhuong'!$B$2:$B$169)-ROW('DM_XaPhuong'!$B$2)+1/ISNUMBER(SEARCH(SUBSTITUTE(UPPER($V326)," ",""),'DM_XaPhuong'!$C$2:$C$169)),1)),"Không tìm thấy"))</f>
        <v/>
      </c>
    </row>
    <row r="327">
      <c r="C327" s="5">
        <f>IF($B327="","",IFERROR(INDEX('DM_DoiTuong'!$B$2:$B$19,AGGREGATE(15,6,ROW('DM_DoiTuong'!$B$2:$B$19)-ROW('DM_DoiTuong'!$B$2)+1/ISNUMBER(SEARCH(SUBSTITUTE(UPPER($B327)," ",""),'DM_DoiTuong'!$C$2:$C$19)),1)),"Không tìm thấy"))</f>
        <v/>
      </c>
      <c r="E327" s="5">
        <f>IF($C327="","",IFERROR(INDEX('DM_DiaDiemKham'!$B$2:$B$6,AGGREGATE(15,6,ROW('DM_DiaDiemKham'!$B$2:$B$6)-ROW('DM_DiaDiemKham'!$B$2)+1/ISNUMBER(SEARCH(SUBSTITUTE(UPPER($C327)," ",""),'DM_DiaDiemKham'!$C$2:$C$6)),1)),"Không tìm thấy"))</f>
        <v/>
      </c>
      <c r="G327" s="5">
        <f>IF($D327="","",IFERROR(INDEX('DM_HinhThucChiTra'!$B$2:$B$5,AGGREGATE(15,6,ROW('DM_HinhThucChiTra'!$B$2:$B$5)-ROW('DM_HinhThucChiTra'!$B$2)+1/ISNUMBER(SEARCH(SUBSTITUTE(UPPER($D327)," ",""),'DM_HinhThucChiTra'!$C$2:$C$5)),1)),"Không tìm thấy"))</f>
        <v/>
      </c>
      <c r="I327" s="5">
        <f>IF($E327="","",IFERROR(INDEX('DM_HinhThucKham'!$B$2:$B$3,AGGREGATE(15,6,ROW('DM_HinhThucKham'!$B$2:$B$3)-ROW('DM_HinhThucKham'!$B$2)+1/ISNUMBER(SEARCH(SUBSTITUTE(UPPER($E327)," ",""),'DM_HinhThucKham'!$C$2:$C$3)),1)),"Không tìm thấy"))</f>
        <v/>
      </c>
      <c r="P327" s="5">
        <f>IF($K327="","",IFERROR(INDEX('DM_DanToc'!$B$2:$B$78,AGGREGATE(15,6,ROW('DM_DanToc'!$B$2:$B$78)-ROW('DM_DanToc'!$B$2)+1/ISNUMBER(SEARCH(SUBSTITUTE(UPPER($K327)," ",""),'DM_DanToc'!$C$2:$C$78)),1)),"Không tìm thấy"))</f>
        <v/>
      </c>
      <c r="W327" s="5">
        <f>IF($Q327="","",IFERROR(INDEX('DM_TinhThanh'!$B$2:$B$35,AGGREGATE(15,6,ROW('DM_TinhThanh'!$B$2:$B$35)-ROW('DM_TinhThanh'!$B$2)+1/ISNUMBER(SEARCH(SUBSTITUTE(UPPER($Q327)," ",""),'DM_TinhThanh'!$C$2:$C$35)),1)),"Không tìm thấy"))</f>
        <v/>
      </c>
      <c r="Y327" s="5">
        <f>IF($R327="","",IFERROR(INDEX('DM_XaPhuong'!$B$2:$B$169,AGGREGATE(15,6,ROW('DM_XaPhuong'!$B$2:$B$169)-ROW('DM_XaPhuong'!$B$2)+1/ISNUMBER(SEARCH(SUBSTITUTE(UPPER($R327)," ",""),'DM_XaPhuong'!$C$2:$C$169)),1)),"Không tìm thấy"))</f>
        <v/>
      </c>
      <c r="AB327" s="5">
        <f>IF($T327="","",IFERROR(INDEX('DM_NgheNghiep'!$B$2:$B$11,AGGREGATE(15,6,ROW('DM_NgheNghiep'!$B$2:$B$11)-ROW('DM_NgheNghiep'!$B$2)+1/ISNUMBER(SEARCH(SUBSTITUTE(UPPER($T327)," ",""),'DM_NgheNghiep'!$C$2:$C$11)),1)),"Không tìm thấy"))</f>
        <v/>
      </c>
      <c r="AD327" s="5">
        <f>IF($U327="","",IFERROR(INDEX('DM_NoiCongTac'!$B$2:$B$11,AGGREGATE(15,6,ROW('DM_NoiCongTac'!$B$2:$B$11)-ROW('DM_NoiCongTac'!$B$2)+1/ISNUMBER(SEARCH(SUBSTITUTE(UPPER($U327)," ",""),'DM_NoiCongTac'!$C$2:$C$11)),1)),"Không tìm thấy"))</f>
        <v/>
      </c>
      <c r="AF327" s="5">
        <f>IF($V327="","",IFERROR(INDEX('DM_XaPhuong'!$B$2:$B$169,AGGREGATE(15,6,ROW('DM_XaPhuong'!$B$2:$B$169)-ROW('DM_XaPhuong'!$B$2)+1/ISNUMBER(SEARCH(SUBSTITUTE(UPPER($V327)," ",""),'DM_XaPhuong'!$C$2:$C$169)),1)),"Không tìm thấy"))</f>
        <v/>
      </c>
    </row>
    <row r="328">
      <c r="C328" s="5">
        <f>IF($B328="","",IFERROR(INDEX('DM_DoiTuong'!$B$2:$B$19,AGGREGATE(15,6,ROW('DM_DoiTuong'!$B$2:$B$19)-ROW('DM_DoiTuong'!$B$2)+1/ISNUMBER(SEARCH(SUBSTITUTE(UPPER($B328)," ",""),'DM_DoiTuong'!$C$2:$C$19)),1)),"Không tìm thấy"))</f>
        <v/>
      </c>
      <c r="E328" s="5">
        <f>IF($C328="","",IFERROR(INDEX('DM_DiaDiemKham'!$B$2:$B$6,AGGREGATE(15,6,ROW('DM_DiaDiemKham'!$B$2:$B$6)-ROW('DM_DiaDiemKham'!$B$2)+1/ISNUMBER(SEARCH(SUBSTITUTE(UPPER($C328)," ",""),'DM_DiaDiemKham'!$C$2:$C$6)),1)),"Không tìm thấy"))</f>
        <v/>
      </c>
      <c r="G328" s="5">
        <f>IF($D328="","",IFERROR(INDEX('DM_HinhThucChiTra'!$B$2:$B$5,AGGREGATE(15,6,ROW('DM_HinhThucChiTra'!$B$2:$B$5)-ROW('DM_HinhThucChiTra'!$B$2)+1/ISNUMBER(SEARCH(SUBSTITUTE(UPPER($D328)," ",""),'DM_HinhThucChiTra'!$C$2:$C$5)),1)),"Không tìm thấy"))</f>
        <v/>
      </c>
      <c r="I328" s="5">
        <f>IF($E328="","",IFERROR(INDEX('DM_HinhThucKham'!$B$2:$B$3,AGGREGATE(15,6,ROW('DM_HinhThucKham'!$B$2:$B$3)-ROW('DM_HinhThucKham'!$B$2)+1/ISNUMBER(SEARCH(SUBSTITUTE(UPPER($E328)," ",""),'DM_HinhThucKham'!$C$2:$C$3)),1)),"Không tìm thấy"))</f>
        <v/>
      </c>
      <c r="P328" s="5">
        <f>IF($K328="","",IFERROR(INDEX('DM_DanToc'!$B$2:$B$78,AGGREGATE(15,6,ROW('DM_DanToc'!$B$2:$B$78)-ROW('DM_DanToc'!$B$2)+1/ISNUMBER(SEARCH(SUBSTITUTE(UPPER($K328)," ",""),'DM_DanToc'!$C$2:$C$78)),1)),"Không tìm thấy"))</f>
        <v/>
      </c>
      <c r="W328" s="5">
        <f>IF($Q328="","",IFERROR(INDEX('DM_TinhThanh'!$B$2:$B$35,AGGREGATE(15,6,ROW('DM_TinhThanh'!$B$2:$B$35)-ROW('DM_TinhThanh'!$B$2)+1/ISNUMBER(SEARCH(SUBSTITUTE(UPPER($Q328)," ",""),'DM_TinhThanh'!$C$2:$C$35)),1)),"Không tìm thấy"))</f>
        <v/>
      </c>
      <c r="Y328" s="5">
        <f>IF($R328="","",IFERROR(INDEX('DM_XaPhuong'!$B$2:$B$169,AGGREGATE(15,6,ROW('DM_XaPhuong'!$B$2:$B$169)-ROW('DM_XaPhuong'!$B$2)+1/ISNUMBER(SEARCH(SUBSTITUTE(UPPER($R328)," ",""),'DM_XaPhuong'!$C$2:$C$169)),1)),"Không tìm thấy"))</f>
        <v/>
      </c>
      <c r="AB328" s="5">
        <f>IF($T328="","",IFERROR(INDEX('DM_NgheNghiep'!$B$2:$B$11,AGGREGATE(15,6,ROW('DM_NgheNghiep'!$B$2:$B$11)-ROW('DM_NgheNghiep'!$B$2)+1/ISNUMBER(SEARCH(SUBSTITUTE(UPPER($T328)," ",""),'DM_NgheNghiep'!$C$2:$C$11)),1)),"Không tìm thấy"))</f>
        <v/>
      </c>
      <c r="AD328" s="5">
        <f>IF($U328="","",IFERROR(INDEX('DM_NoiCongTac'!$B$2:$B$11,AGGREGATE(15,6,ROW('DM_NoiCongTac'!$B$2:$B$11)-ROW('DM_NoiCongTac'!$B$2)+1/ISNUMBER(SEARCH(SUBSTITUTE(UPPER($U328)," ",""),'DM_NoiCongTac'!$C$2:$C$11)),1)),"Không tìm thấy"))</f>
        <v/>
      </c>
      <c r="AF328" s="5">
        <f>IF($V328="","",IFERROR(INDEX('DM_XaPhuong'!$B$2:$B$169,AGGREGATE(15,6,ROW('DM_XaPhuong'!$B$2:$B$169)-ROW('DM_XaPhuong'!$B$2)+1/ISNUMBER(SEARCH(SUBSTITUTE(UPPER($V328)," ",""),'DM_XaPhuong'!$C$2:$C$169)),1)),"Không tìm thấy"))</f>
        <v/>
      </c>
    </row>
    <row r="329">
      <c r="C329" s="5">
        <f>IF($B329="","",IFERROR(INDEX('DM_DoiTuong'!$B$2:$B$19,AGGREGATE(15,6,ROW('DM_DoiTuong'!$B$2:$B$19)-ROW('DM_DoiTuong'!$B$2)+1/ISNUMBER(SEARCH(SUBSTITUTE(UPPER($B329)," ",""),'DM_DoiTuong'!$C$2:$C$19)),1)),"Không tìm thấy"))</f>
        <v/>
      </c>
      <c r="E329" s="5">
        <f>IF($C329="","",IFERROR(INDEX('DM_DiaDiemKham'!$B$2:$B$6,AGGREGATE(15,6,ROW('DM_DiaDiemKham'!$B$2:$B$6)-ROW('DM_DiaDiemKham'!$B$2)+1/ISNUMBER(SEARCH(SUBSTITUTE(UPPER($C329)," ",""),'DM_DiaDiemKham'!$C$2:$C$6)),1)),"Không tìm thấy"))</f>
        <v/>
      </c>
      <c r="G329" s="5">
        <f>IF($D329="","",IFERROR(INDEX('DM_HinhThucChiTra'!$B$2:$B$5,AGGREGATE(15,6,ROW('DM_HinhThucChiTra'!$B$2:$B$5)-ROW('DM_HinhThucChiTra'!$B$2)+1/ISNUMBER(SEARCH(SUBSTITUTE(UPPER($D329)," ",""),'DM_HinhThucChiTra'!$C$2:$C$5)),1)),"Không tìm thấy"))</f>
        <v/>
      </c>
      <c r="I329" s="5">
        <f>IF($E329="","",IFERROR(INDEX('DM_HinhThucKham'!$B$2:$B$3,AGGREGATE(15,6,ROW('DM_HinhThucKham'!$B$2:$B$3)-ROW('DM_HinhThucKham'!$B$2)+1/ISNUMBER(SEARCH(SUBSTITUTE(UPPER($E329)," ",""),'DM_HinhThucKham'!$C$2:$C$3)),1)),"Không tìm thấy"))</f>
        <v/>
      </c>
      <c r="P329" s="5">
        <f>IF($K329="","",IFERROR(INDEX('DM_DanToc'!$B$2:$B$78,AGGREGATE(15,6,ROW('DM_DanToc'!$B$2:$B$78)-ROW('DM_DanToc'!$B$2)+1/ISNUMBER(SEARCH(SUBSTITUTE(UPPER($K329)," ",""),'DM_DanToc'!$C$2:$C$78)),1)),"Không tìm thấy"))</f>
        <v/>
      </c>
      <c r="W329" s="5">
        <f>IF($Q329="","",IFERROR(INDEX('DM_TinhThanh'!$B$2:$B$35,AGGREGATE(15,6,ROW('DM_TinhThanh'!$B$2:$B$35)-ROW('DM_TinhThanh'!$B$2)+1/ISNUMBER(SEARCH(SUBSTITUTE(UPPER($Q329)," ",""),'DM_TinhThanh'!$C$2:$C$35)),1)),"Không tìm thấy"))</f>
        <v/>
      </c>
      <c r="Y329" s="5">
        <f>IF($R329="","",IFERROR(INDEX('DM_XaPhuong'!$B$2:$B$169,AGGREGATE(15,6,ROW('DM_XaPhuong'!$B$2:$B$169)-ROW('DM_XaPhuong'!$B$2)+1/ISNUMBER(SEARCH(SUBSTITUTE(UPPER($R329)," ",""),'DM_XaPhuong'!$C$2:$C$169)),1)),"Không tìm thấy"))</f>
        <v/>
      </c>
      <c r="AB329" s="5">
        <f>IF($T329="","",IFERROR(INDEX('DM_NgheNghiep'!$B$2:$B$11,AGGREGATE(15,6,ROW('DM_NgheNghiep'!$B$2:$B$11)-ROW('DM_NgheNghiep'!$B$2)+1/ISNUMBER(SEARCH(SUBSTITUTE(UPPER($T329)," ",""),'DM_NgheNghiep'!$C$2:$C$11)),1)),"Không tìm thấy"))</f>
        <v/>
      </c>
      <c r="AD329" s="5">
        <f>IF($U329="","",IFERROR(INDEX('DM_NoiCongTac'!$B$2:$B$11,AGGREGATE(15,6,ROW('DM_NoiCongTac'!$B$2:$B$11)-ROW('DM_NoiCongTac'!$B$2)+1/ISNUMBER(SEARCH(SUBSTITUTE(UPPER($U329)," ",""),'DM_NoiCongTac'!$C$2:$C$11)),1)),"Không tìm thấy"))</f>
        <v/>
      </c>
      <c r="AF329" s="5">
        <f>IF($V329="","",IFERROR(INDEX('DM_XaPhuong'!$B$2:$B$169,AGGREGATE(15,6,ROW('DM_XaPhuong'!$B$2:$B$169)-ROW('DM_XaPhuong'!$B$2)+1/ISNUMBER(SEARCH(SUBSTITUTE(UPPER($V329)," ",""),'DM_XaPhuong'!$C$2:$C$169)),1)),"Không tìm thấy"))</f>
        <v/>
      </c>
    </row>
    <row r="330">
      <c r="C330" s="5">
        <f>IF($B330="","",IFERROR(INDEX('DM_DoiTuong'!$B$2:$B$19,AGGREGATE(15,6,ROW('DM_DoiTuong'!$B$2:$B$19)-ROW('DM_DoiTuong'!$B$2)+1/ISNUMBER(SEARCH(SUBSTITUTE(UPPER($B330)," ",""),'DM_DoiTuong'!$C$2:$C$19)),1)),"Không tìm thấy"))</f>
        <v/>
      </c>
      <c r="E330" s="5">
        <f>IF($C330="","",IFERROR(INDEX('DM_DiaDiemKham'!$B$2:$B$6,AGGREGATE(15,6,ROW('DM_DiaDiemKham'!$B$2:$B$6)-ROW('DM_DiaDiemKham'!$B$2)+1/ISNUMBER(SEARCH(SUBSTITUTE(UPPER($C330)," ",""),'DM_DiaDiemKham'!$C$2:$C$6)),1)),"Không tìm thấy"))</f>
        <v/>
      </c>
      <c r="G330" s="5">
        <f>IF($D330="","",IFERROR(INDEX('DM_HinhThucChiTra'!$B$2:$B$5,AGGREGATE(15,6,ROW('DM_HinhThucChiTra'!$B$2:$B$5)-ROW('DM_HinhThucChiTra'!$B$2)+1/ISNUMBER(SEARCH(SUBSTITUTE(UPPER($D330)," ",""),'DM_HinhThucChiTra'!$C$2:$C$5)),1)),"Không tìm thấy"))</f>
        <v/>
      </c>
      <c r="I330" s="5">
        <f>IF($E330="","",IFERROR(INDEX('DM_HinhThucKham'!$B$2:$B$3,AGGREGATE(15,6,ROW('DM_HinhThucKham'!$B$2:$B$3)-ROW('DM_HinhThucKham'!$B$2)+1/ISNUMBER(SEARCH(SUBSTITUTE(UPPER($E330)," ",""),'DM_HinhThucKham'!$C$2:$C$3)),1)),"Không tìm thấy"))</f>
        <v/>
      </c>
      <c r="P330" s="5">
        <f>IF($K330="","",IFERROR(INDEX('DM_DanToc'!$B$2:$B$78,AGGREGATE(15,6,ROW('DM_DanToc'!$B$2:$B$78)-ROW('DM_DanToc'!$B$2)+1/ISNUMBER(SEARCH(SUBSTITUTE(UPPER($K330)," ",""),'DM_DanToc'!$C$2:$C$78)),1)),"Không tìm thấy"))</f>
        <v/>
      </c>
      <c r="W330" s="5">
        <f>IF($Q330="","",IFERROR(INDEX('DM_TinhThanh'!$B$2:$B$35,AGGREGATE(15,6,ROW('DM_TinhThanh'!$B$2:$B$35)-ROW('DM_TinhThanh'!$B$2)+1/ISNUMBER(SEARCH(SUBSTITUTE(UPPER($Q330)," ",""),'DM_TinhThanh'!$C$2:$C$35)),1)),"Không tìm thấy"))</f>
        <v/>
      </c>
      <c r="Y330" s="5">
        <f>IF($R330="","",IFERROR(INDEX('DM_XaPhuong'!$B$2:$B$169,AGGREGATE(15,6,ROW('DM_XaPhuong'!$B$2:$B$169)-ROW('DM_XaPhuong'!$B$2)+1/ISNUMBER(SEARCH(SUBSTITUTE(UPPER($R330)," ",""),'DM_XaPhuong'!$C$2:$C$169)),1)),"Không tìm thấy"))</f>
        <v/>
      </c>
      <c r="AB330" s="5">
        <f>IF($T330="","",IFERROR(INDEX('DM_NgheNghiep'!$B$2:$B$11,AGGREGATE(15,6,ROW('DM_NgheNghiep'!$B$2:$B$11)-ROW('DM_NgheNghiep'!$B$2)+1/ISNUMBER(SEARCH(SUBSTITUTE(UPPER($T330)," ",""),'DM_NgheNghiep'!$C$2:$C$11)),1)),"Không tìm thấy"))</f>
        <v/>
      </c>
      <c r="AD330" s="5">
        <f>IF($U330="","",IFERROR(INDEX('DM_NoiCongTac'!$B$2:$B$11,AGGREGATE(15,6,ROW('DM_NoiCongTac'!$B$2:$B$11)-ROW('DM_NoiCongTac'!$B$2)+1/ISNUMBER(SEARCH(SUBSTITUTE(UPPER($U330)," ",""),'DM_NoiCongTac'!$C$2:$C$11)),1)),"Không tìm thấy"))</f>
        <v/>
      </c>
      <c r="AF330" s="5">
        <f>IF($V330="","",IFERROR(INDEX('DM_XaPhuong'!$B$2:$B$169,AGGREGATE(15,6,ROW('DM_XaPhuong'!$B$2:$B$169)-ROW('DM_XaPhuong'!$B$2)+1/ISNUMBER(SEARCH(SUBSTITUTE(UPPER($V330)," ",""),'DM_XaPhuong'!$C$2:$C$169)),1)),"Không tìm thấy"))</f>
        <v/>
      </c>
    </row>
    <row r="331">
      <c r="C331" s="5">
        <f>IF($B331="","",IFERROR(INDEX('DM_DoiTuong'!$B$2:$B$19,AGGREGATE(15,6,ROW('DM_DoiTuong'!$B$2:$B$19)-ROW('DM_DoiTuong'!$B$2)+1/ISNUMBER(SEARCH(SUBSTITUTE(UPPER($B331)," ",""),'DM_DoiTuong'!$C$2:$C$19)),1)),"Không tìm thấy"))</f>
        <v/>
      </c>
      <c r="E331" s="5">
        <f>IF($C331="","",IFERROR(INDEX('DM_DiaDiemKham'!$B$2:$B$6,AGGREGATE(15,6,ROW('DM_DiaDiemKham'!$B$2:$B$6)-ROW('DM_DiaDiemKham'!$B$2)+1/ISNUMBER(SEARCH(SUBSTITUTE(UPPER($C331)," ",""),'DM_DiaDiemKham'!$C$2:$C$6)),1)),"Không tìm thấy"))</f>
        <v/>
      </c>
      <c r="G331" s="5">
        <f>IF($D331="","",IFERROR(INDEX('DM_HinhThucChiTra'!$B$2:$B$5,AGGREGATE(15,6,ROW('DM_HinhThucChiTra'!$B$2:$B$5)-ROW('DM_HinhThucChiTra'!$B$2)+1/ISNUMBER(SEARCH(SUBSTITUTE(UPPER($D331)," ",""),'DM_HinhThucChiTra'!$C$2:$C$5)),1)),"Không tìm thấy"))</f>
        <v/>
      </c>
      <c r="I331" s="5">
        <f>IF($E331="","",IFERROR(INDEX('DM_HinhThucKham'!$B$2:$B$3,AGGREGATE(15,6,ROW('DM_HinhThucKham'!$B$2:$B$3)-ROW('DM_HinhThucKham'!$B$2)+1/ISNUMBER(SEARCH(SUBSTITUTE(UPPER($E331)," ",""),'DM_HinhThucKham'!$C$2:$C$3)),1)),"Không tìm thấy"))</f>
        <v/>
      </c>
      <c r="P331" s="5">
        <f>IF($K331="","",IFERROR(INDEX('DM_DanToc'!$B$2:$B$78,AGGREGATE(15,6,ROW('DM_DanToc'!$B$2:$B$78)-ROW('DM_DanToc'!$B$2)+1/ISNUMBER(SEARCH(SUBSTITUTE(UPPER($K331)," ",""),'DM_DanToc'!$C$2:$C$78)),1)),"Không tìm thấy"))</f>
        <v/>
      </c>
      <c r="W331" s="5">
        <f>IF($Q331="","",IFERROR(INDEX('DM_TinhThanh'!$B$2:$B$35,AGGREGATE(15,6,ROW('DM_TinhThanh'!$B$2:$B$35)-ROW('DM_TinhThanh'!$B$2)+1/ISNUMBER(SEARCH(SUBSTITUTE(UPPER($Q331)," ",""),'DM_TinhThanh'!$C$2:$C$35)),1)),"Không tìm thấy"))</f>
        <v/>
      </c>
      <c r="Y331" s="5">
        <f>IF($R331="","",IFERROR(INDEX('DM_XaPhuong'!$B$2:$B$169,AGGREGATE(15,6,ROW('DM_XaPhuong'!$B$2:$B$169)-ROW('DM_XaPhuong'!$B$2)+1/ISNUMBER(SEARCH(SUBSTITUTE(UPPER($R331)," ",""),'DM_XaPhuong'!$C$2:$C$169)),1)),"Không tìm thấy"))</f>
        <v/>
      </c>
      <c r="AB331" s="5">
        <f>IF($T331="","",IFERROR(INDEX('DM_NgheNghiep'!$B$2:$B$11,AGGREGATE(15,6,ROW('DM_NgheNghiep'!$B$2:$B$11)-ROW('DM_NgheNghiep'!$B$2)+1/ISNUMBER(SEARCH(SUBSTITUTE(UPPER($T331)," ",""),'DM_NgheNghiep'!$C$2:$C$11)),1)),"Không tìm thấy"))</f>
        <v/>
      </c>
      <c r="AD331" s="5">
        <f>IF($U331="","",IFERROR(INDEX('DM_NoiCongTac'!$B$2:$B$11,AGGREGATE(15,6,ROW('DM_NoiCongTac'!$B$2:$B$11)-ROW('DM_NoiCongTac'!$B$2)+1/ISNUMBER(SEARCH(SUBSTITUTE(UPPER($U331)," ",""),'DM_NoiCongTac'!$C$2:$C$11)),1)),"Không tìm thấy"))</f>
        <v/>
      </c>
      <c r="AF331" s="5">
        <f>IF($V331="","",IFERROR(INDEX('DM_XaPhuong'!$B$2:$B$169,AGGREGATE(15,6,ROW('DM_XaPhuong'!$B$2:$B$169)-ROW('DM_XaPhuong'!$B$2)+1/ISNUMBER(SEARCH(SUBSTITUTE(UPPER($V331)," ",""),'DM_XaPhuong'!$C$2:$C$169)),1)),"Không tìm thấy"))</f>
        <v/>
      </c>
    </row>
    <row r="332">
      <c r="C332" s="5">
        <f>IF($B332="","",IFERROR(INDEX('DM_DoiTuong'!$B$2:$B$19,AGGREGATE(15,6,ROW('DM_DoiTuong'!$B$2:$B$19)-ROW('DM_DoiTuong'!$B$2)+1/ISNUMBER(SEARCH(SUBSTITUTE(UPPER($B332)," ",""),'DM_DoiTuong'!$C$2:$C$19)),1)),"Không tìm thấy"))</f>
        <v/>
      </c>
      <c r="E332" s="5">
        <f>IF($C332="","",IFERROR(INDEX('DM_DiaDiemKham'!$B$2:$B$6,AGGREGATE(15,6,ROW('DM_DiaDiemKham'!$B$2:$B$6)-ROW('DM_DiaDiemKham'!$B$2)+1/ISNUMBER(SEARCH(SUBSTITUTE(UPPER($C332)," ",""),'DM_DiaDiemKham'!$C$2:$C$6)),1)),"Không tìm thấy"))</f>
        <v/>
      </c>
      <c r="G332" s="5">
        <f>IF($D332="","",IFERROR(INDEX('DM_HinhThucChiTra'!$B$2:$B$5,AGGREGATE(15,6,ROW('DM_HinhThucChiTra'!$B$2:$B$5)-ROW('DM_HinhThucChiTra'!$B$2)+1/ISNUMBER(SEARCH(SUBSTITUTE(UPPER($D332)," ",""),'DM_HinhThucChiTra'!$C$2:$C$5)),1)),"Không tìm thấy"))</f>
        <v/>
      </c>
      <c r="I332" s="5">
        <f>IF($E332="","",IFERROR(INDEX('DM_HinhThucKham'!$B$2:$B$3,AGGREGATE(15,6,ROW('DM_HinhThucKham'!$B$2:$B$3)-ROW('DM_HinhThucKham'!$B$2)+1/ISNUMBER(SEARCH(SUBSTITUTE(UPPER($E332)," ",""),'DM_HinhThucKham'!$C$2:$C$3)),1)),"Không tìm thấy"))</f>
        <v/>
      </c>
      <c r="P332" s="5">
        <f>IF($K332="","",IFERROR(INDEX('DM_DanToc'!$B$2:$B$78,AGGREGATE(15,6,ROW('DM_DanToc'!$B$2:$B$78)-ROW('DM_DanToc'!$B$2)+1/ISNUMBER(SEARCH(SUBSTITUTE(UPPER($K332)," ",""),'DM_DanToc'!$C$2:$C$78)),1)),"Không tìm thấy"))</f>
        <v/>
      </c>
      <c r="W332" s="5">
        <f>IF($Q332="","",IFERROR(INDEX('DM_TinhThanh'!$B$2:$B$35,AGGREGATE(15,6,ROW('DM_TinhThanh'!$B$2:$B$35)-ROW('DM_TinhThanh'!$B$2)+1/ISNUMBER(SEARCH(SUBSTITUTE(UPPER($Q332)," ",""),'DM_TinhThanh'!$C$2:$C$35)),1)),"Không tìm thấy"))</f>
        <v/>
      </c>
      <c r="Y332" s="5">
        <f>IF($R332="","",IFERROR(INDEX('DM_XaPhuong'!$B$2:$B$169,AGGREGATE(15,6,ROW('DM_XaPhuong'!$B$2:$B$169)-ROW('DM_XaPhuong'!$B$2)+1/ISNUMBER(SEARCH(SUBSTITUTE(UPPER($R332)," ",""),'DM_XaPhuong'!$C$2:$C$169)),1)),"Không tìm thấy"))</f>
        <v/>
      </c>
      <c r="AB332" s="5">
        <f>IF($T332="","",IFERROR(INDEX('DM_NgheNghiep'!$B$2:$B$11,AGGREGATE(15,6,ROW('DM_NgheNghiep'!$B$2:$B$11)-ROW('DM_NgheNghiep'!$B$2)+1/ISNUMBER(SEARCH(SUBSTITUTE(UPPER($T332)," ",""),'DM_NgheNghiep'!$C$2:$C$11)),1)),"Không tìm thấy"))</f>
        <v/>
      </c>
      <c r="AD332" s="5">
        <f>IF($U332="","",IFERROR(INDEX('DM_NoiCongTac'!$B$2:$B$11,AGGREGATE(15,6,ROW('DM_NoiCongTac'!$B$2:$B$11)-ROW('DM_NoiCongTac'!$B$2)+1/ISNUMBER(SEARCH(SUBSTITUTE(UPPER($U332)," ",""),'DM_NoiCongTac'!$C$2:$C$11)),1)),"Không tìm thấy"))</f>
        <v/>
      </c>
      <c r="AF332" s="5">
        <f>IF($V332="","",IFERROR(INDEX('DM_XaPhuong'!$B$2:$B$169,AGGREGATE(15,6,ROW('DM_XaPhuong'!$B$2:$B$169)-ROW('DM_XaPhuong'!$B$2)+1/ISNUMBER(SEARCH(SUBSTITUTE(UPPER($V332)," ",""),'DM_XaPhuong'!$C$2:$C$169)),1)),"Không tìm thấy"))</f>
        <v/>
      </c>
    </row>
    <row r="333">
      <c r="C333" s="5">
        <f>IF($B333="","",IFERROR(INDEX('DM_DoiTuong'!$B$2:$B$19,AGGREGATE(15,6,ROW('DM_DoiTuong'!$B$2:$B$19)-ROW('DM_DoiTuong'!$B$2)+1/ISNUMBER(SEARCH(SUBSTITUTE(UPPER($B333)," ",""),'DM_DoiTuong'!$C$2:$C$19)),1)),"Không tìm thấy"))</f>
        <v/>
      </c>
      <c r="E333" s="5">
        <f>IF($C333="","",IFERROR(INDEX('DM_DiaDiemKham'!$B$2:$B$6,AGGREGATE(15,6,ROW('DM_DiaDiemKham'!$B$2:$B$6)-ROW('DM_DiaDiemKham'!$B$2)+1/ISNUMBER(SEARCH(SUBSTITUTE(UPPER($C333)," ",""),'DM_DiaDiemKham'!$C$2:$C$6)),1)),"Không tìm thấy"))</f>
        <v/>
      </c>
      <c r="G333" s="5">
        <f>IF($D333="","",IFERROR(INDEX('DM_HinhThucChiTra'!$B$2:$B$5,AGGREGATE(15,6,ROW('DM_HinhThucChiTra'!$B$2:$B$5)-ROW('DM_HinhThucChiTra'!$B$2)+1/ISNUMBER(SEARCH(SUBSTITUTE(UPPER($D333)," ",""),'DM_HinhThucChiTra'!$C$2:$C$5)),1)),"Không tìm thấy"))</f>
        <v/>
      </c>
      <c r="I333" s="5">
        <f>IF($E333="","",IFERROR(INDEX('DM_HinhThucKham'!$B$2:$B$3,AGGREGATE(15,6,ROW('DM_HinhThucKham'!$B$2:$B$3)-ROW('DM_HinhThucKham'!$B$2)+1/ISNUMBER(SEARCH(SUBSTITUTE(UPPER($E333)," ",""),'DM_HinhThucKham'!$C$2:$C$3)),1)),"Không tìm thấy"))</f>
        <v/>
      </c>
      <c r="P333" s="5">
        <f>IF($K333="","",IFERROR(INDEX('DM_DanToc'!$B$2:$B$78,AGGREGATE(15,6,ROW('DM_DanToc'!$B$2:$B$78)-ROW('DM_DanToc'!$B$2)+1/ISNUMBER(SEARCH(SUBSTITUTE(UPPER($K333)," ",""),'DM_DanToc'!$C$2:$C$78)),1)),"Không tìm thấy"))</f>
        <v/>
      </c>
      <c r="W333" s="5">
        <f>IF($Q333="","",IFERROR(INDEX('DM_TinhThanh'!$B$2:$B$35,AGGREGATE(15,6,ROW('DM_TinhThanh'!$B$2:$B$35)-ROW('DM_TinhThanh'!$B$2)+1/ISNUMBER(SEARCH(SUBSTITUTE(UPPER($Q333)," ",""),'DM_TinhThanh'!$C$2:$C$35)),1)),"Không tìm thấy"))</f>
        <v/>
      </c>
      <c r="Y333" s="5">
        <f>IF($R333="","",IFERROR(INDEX('DM_XaPhuong'!$B$2:$B$169,AGGREGATE(15,6,ROW('DM_XaPhuong'!$B$2:$B$169)-ROW('DM_XaPhuong'!$B$2)+1/ISNUMBER(SEARCH(SUBSTITUTE(UPPER($R333)," ",""),'DM_XaPhuong'!$C$2:$C$169)),1)),"Không tìm thấy"))</f>
        <v/>
      </c>
      <c r="AB333" s="5">
        <f>IF($T333="","",IFERROR(INDEX('DM_NgheNghiep'!$B$2:$B$11,AGGREGATE(15,6,ROW('DM_NgheNghiep'!$B$2:$B$11)-ROW('DM_NgheNghiep'!$B$2)+1/ISNUMBER(SEARCH(SUBSTITUTE(UPPER($T333)," ",""),'DM_NgheNghiep'!$C$2:$C$11)),1)),"Không tìm thấy"))</f>
        <v/>
      </c>
      <c r="AD333" s="5">
        <f>IF($U333="","",IFERROR(INDEX('DM_NoiCongTac'!$B$2:$B$11,AGGREGATE(15,6,ROW('DM_NoiCongTac'!$B$2:$B$11)-ROW('DM_NoiCongTac'!$B$2)+1/ISNUMBER(SEARCH(SUBSTITUTE(UPPER($U333)," ",""),'DM_NoiCongTac'!$C$2:$C$11)),1)),"Không tìm thấy"))</f>
        <v/>
      </c>
      <c r="AF333" s="5">
        <f>IF($V333="","",IFERROR(INDEX('DM_XaPhuong'!$B$2:$B$169,AGGREGATE(15,6,ROW('DM_XaPhuong'!$B$2:$B$169)-ROW('DM_XaPhuong'!$B$2)+1/ISNUMBER(SEARCH(SUBSTITUTE(UPPER($V333)," ",""),'DM_XaPhuong'!$C$2:$C$169)),1)),"Không tìm thấy"))</f>
        <v/>
      </c>
    </row>
    <row r="334">
      <c r="C334" s="5">
        <f>IF($B334="","",IFERROR(INDEX('DM_DoiTuong'!$B$2:$B$19,AGGREGATE(15,6,ROW('DM_DoiTuong'!$B$2:$B$19)-ROW('DM_DoiTuong'!$B$2)+1/ISNUMBER(SEARCH(SUBSTITUTE(UPPER($B334)," ",""),'DM_DoiTuong'!$C$2:$C$19)),1)),"Không tìm thấy"))</f>
        <v/>
      </c>
      <c r="E334" s="5">
        <f>IF($C334="","",IFERROR(INDEX('DM_DiaDiemKham'!$B$2:$B$6,AGGREGATE(15,6,ROW('DM_DiaDiemKham'!$B$2:$B$6)-ROW('DM_DiaDiemKham'!$B$2)+1/ISNUMBER(SEARCH(SUBSTITUTE(UPPER($C334)," ",""),'DM_DiaDiemKham'!$C$2:$C$6)),1)),"Không tìm thấy"))</f>
        <v/>
      </c>
      <c r="G334" s="5">
        <f>IF($D334="","",IFERROR(INDEX('DM_HinhThucChiTra'!$B$2:$B$5,AGGREGATE(15,6,ROW('DM_HinhThucChiTra'!$B$2:$B$5)-ROW('DM_HinhThucChiTra'!$B$2)+1/ISNUMBER(SEARCH(SUBSTITUTE(UPPER($D334)," ",""),'DM_HinhThucChiTra'!$C$2:$C$5)),1)),"Không tìm thấy"))</f>
        <v/>
      </c>
      <c r="I334" s="5">
        <f>IF($E334="","",IFERROR(INDEX('DM_HinhThucKham'!$B$2:$B$3,AGGREGATE(15,6,ROW('DM_HinhThucKham'!$B$2:$B$3)-ROW('DM_HinhThucKham'!$B$2)+1/ISNUMBER(SEARCH(SUBSTITUTE(UPPER($E334)," ",""),'DM_HinhThucKham'!$C$2:$C$3)),1)),"Không tìm thấy"))</f>
        <v/>
      </c>
      <c r="P334" s="5">
        <f>IF($K334="","",IFERROR(INDEX('DM_DanToc'!$B$2:$B$78,AGGREGATE(15,6,ROW('DM_DanToc'!$B$2:$B$78)-ROW('DM_DanToc'!$B$2)+1/ISNUMBER(SEARCH(SUBSTITUTE(UPPER($K334)," ",""),'DM_DanToc'!$C$2:$C$78)),1)),"Không tìm thấy"))</f>
        <v/>
      </c>
      <c r="W334" s="5">
        <f>IF($Q334="","",IFERROR(INDEX('DM_TinhThanh'!$B$2:$B$35,AGGREGATE(15,6,ROW('DM_TinhThanh'!$B$2:$B$35)-ROW('DM_TinhThanh'!$B$2)+1/ISNUMBER(SEARCH(SUBSTITUTE(UPPER($Q334)," ",""),'DM_TinhThanh'!$C$2:$C$35)),1)),"Không tìm thấy"))</f>
        <v/>
      </c>
      <c r="Y334" s="5">
        <f>IF($R334="","",IFERROR(INDEX('DM_XaPhuong'!$B$2:$B$169,AGGREGATE(15,6,ROW('DM_XaPhuong'!$B$2:$B$169)-ROW('DM_XaPhuong'!$B$2)+1/ISNUMBER(SEARCH(SUBSTITUTE(UPPER($R334)," ",""),'DM_XaPhuong'!$C$2:$C$169)),1)),"Không tìm thấy"))</f>
        <v/>
      </c>
      <c r="AB334" s="5">
        <f>IF($T334="","",IFERROR(INDEX('DM_NgheNghiep'!$B$2:$B$11,AGGREGATE(15,6,ROW('DM_NgheNghiep'!$B$2:$B$11)-ROW('DM_NgheNghiep'!$B$2)+1/ISNUMBER(SEARCH(SUBSTITUTE(UPPER($T334)," ",""),'DM_NgheNghiep'!$C$2:$C$11)),1)),"Không tìm thấy"))</f>
        <v/>
      </c>
      <c r="AD334" s="5">
        <f>IF($U334="","",IFERROR(INDEX('DM_NoiCongTac'!$B$2:$B$11,AGGREGATE(15,6,ROW('DM_NoiCongTac'!$B$2:$B$11)-ROW('DM_NoiCongTac'!$B$2)+1/ISNUMBER(SEARCH(SUBSTITUTE(UPPER($U334)," ",""),'DM_NoiCongTac'!$C$2:$C$11)),1)),"Không tìm thấy"))</f>
        <v/>
      </c>
      <c r="AF334" s="5">
        <f>IF($V334="","",IFERROR(INDEX('DM_XaPhuong'!$B$2:$B$169,AGGREGATE(15,6,ROW('DM_XaPhuong'!$B$2:$B$169)-ROW('DM_XaPhuong'!$B$2)+1/ISNUMBER(SEARCH(SUBSTITUTE(UPPER($V334)," ",""),'DM_XaPhuong'!$C$2:$C$169)),1)),"Không tìm thấy"))</f>
        <v/>
      </c>
    </row>
    <row r="335">
      <c r="C335" s="5">
        <f>IF($B335="","",IFERROR(INDEX('DM_DoiTuong'!$B$2:$B$19,AGGREGATE(15,6,ROW('DM_DoiTuong'!$B$2:$B$19)-ROW('DM_DoiTuong'!$B$2)+1/ISNUMBER(SEARCH(SUBSTITUTE(UPPER($B335)," ",""),'DM_DoiTuong'!$C$2:$C$19)),1)),"Không tìm thấy"))</f>
        <v/>
      </c>
      <c r="E335" s="5">
        <f>IF($C335="","",IFERROR(INDEX('DM_DiaDiemKham'!$B$2:$B$6,AGGREGATE(15,6,ROW('DM_DiaDiemKham'!$B$2:$B$6)-ROW('DM_DiaDiemKham'!$B$2)+1/ISNUMBER(SEARCH(SUBSTITUTE(UPPER($C335)," ",""),'DM_DiaDiemKham'!$C$2:$C$6)),1)),"Không tìm thấy"))</f>
        <v/>
      </c>
      <c r="G335" s="5">
        <f>IF($D335="","",IFERROR(INDEX('DM_HinhThucChiTra'!$B$2:$B$5,AGGREGATE(15,6,ROW('DM_HinhThucChiTra'!$B$2:$B$5)-ROW('DM_HinhThucChiTra'!$B$2)+1/ISNUMBER(SEARCH(SUBSTITUTE(UPPER($D335)," ",""),'DM_HinhThucChiTra'!$C$2:$C$5)),1)),"Không tìm thấy"))</f>
        <v/>
      </c>
      <c r="I335" s="5">
        <f>IF($E335="","",IFERROR(INDEX('DM_HinhThucKham'!$B$2:$B$3,AGGREGATE(15,6,ROW('DM_HinhThucKham'!$B$2:$B$3)-ROW('DM_HinhThucKham'!$B$2)+1/ISNUMBER(SEARCH(SUBSTITUTE(UPPER($E335)," ",""),'DM_HinhThucKham'!$C$2:$C$3)),1)),"Không tìm thấy"))</f>
        <v/>
      </c>
      <c r="P335" s="5">
        <f>IF($K335="","",IFERROR(INDEX('DM_DanToc'!$B$2:$B$78,AGGREGATE(15,6,ROW('DM_DanToc'!$B$2:$B$78)-ROW('DM_DanToc'!$B$2)+1/ISNUMBER(SEARCH(SUBSTITUTE(UPPER($K335)," ",""),'DM_DanToc'!$C$2:$C$78)),1)),"Không tìm thấy"))</f>
        <v/>
      </c>
      <c r="W335" s="5">
        <f>IF($Q335="","",IFERROR(INDEX('DM_TinhThanh'!$B$2:$B$35,AGGREGATE(15,6,ROW('DM_TinhThanh'!$B$2:$B$35)-ROW('DM_TinhThanh'!$B$2)+1/ISNUMBER(SEARCH(SUBSTITUTE(UPPER($Q335)," ",""),'DM_TinhThanh'!$C$2:$C$35)),1)),"Không tìm thấy"))</f>
        <v/>
      </c>
      <c r="Y335" s="5">
        <f>IF($R335="","",IFERROR(INDEX('DM_XaPhuong'!$B$2:$B$169,AGGREGATE(15,6,ROW('DM_XaPhuong'!$B$2:$B$169)-ROW('DM_XaPhuong'!$B$2)+1/ISNUMBER(SEARCH(SUBSTITUTE(UPPER($R335)," ",""),'DM_XaPhuong'!$C$2:$C$169)),1)),"Không tìm thấy"))</f>
        <v/>
      </c>
      <c r="AB335" s="5">
        <f>IF($T335="","",IFERROR(INDEX('DM_NgheNghiep'!$B$2:$B$11,AGGREGATE(15,6,ROW('DM_NgheNghiep'!$B$2:$B$11)-ROW('DM_NgheNghiep'!$B$2)+1/ISNUMBER(SEARCH(SUBSTITUTE(UPPER($T335)," ",""),'DM_NgheNghiep'!$C$2:$C$11)),1)),"Không tìm thấy"))</f>
        <v/>
      </c>
      <c r="AD335" s="5">
        <f>IF($U335="","",IFERROR(INDEX('DM_NoiCongTac'!$B$2:$B$11,AGGREGATE(15,6,ROW('DM_NoiCongTac'!$B$2:$B$11)-ROW('DM_NoiCongTac'!$B$2)+1/ISNUMBER(SEARCH(SUBSTITUTE(UPPER($U335)," ",""),'DM_NoiCongTac'!$C$2:$C$11)),1)),"Không tìm thấy"))</f>
        <v/>
      </c>
      <c r="AF335" s="5">
        <f>IF($V335="","",IFERROR(INDEX('DM_XaPhuong'!$B$2:$B$169,AGGREGATE(15,6,ROW('DM_XaPhuong'!$B$2:$B$169)-ROW('DM_XaPhuong'!$B$2)+1/ISNUMBER(SEARCH(SUBSTITUTE(UPPER($V335)," ",""),'DM_XaPhuong'!$C$2:$C$169)),1)),"Không tìm thấy"))</f>
        <v/>
      </c>
    </row>
    <row r="336">
      <c r="C336" s="5">
        <f>IF($B336="","",IFERROR(INDEX('DM_DoiTuong'!$B$2:$B$19,AGGREGATE(15,6,ROW('DM_DoiTuong'!$B$2:$B$19)-ROW('DM_DoiTuong'!$B$2)+1/ISNUMBER(SEARCH(SUBSTITUTE(UPPER($B336)," ",""),'DM_DoiTuong'!$C$2:$C$19)),1)),"Không tìm thấy"))</f>
        <v/>
      </c>
      <c r="E336" s="5">
        <f>IF($C336="","",IFERROR(INDEX('DM_DiaDiemKham'!$B$2:$B$6,AGGREGATE(15,6,ROW('DM_DiaDiemKham'!$B$2:$B$6)-ROW('DM_DiaDiemKham'!$B$2)+1/ISNUMBER(SEARCH(SUBSTITUTE(UPPER($C336)," ",""),'DM_DiaDiemKham'!$C$2:$C$6)),1)),"Không tìm thấy"))</f>
        <v/>
      </c>
      <c r="G336" s="5">
        <f>IF($D336="","",IFERROR(INDEX('DM_HinhThucChiTra'!$B$2:$B$5,AGGREGATE(15,6,ROW('DM_HinhThucChiTra'!$B$2:$B$5)-ROW('DM_HinhThucChiTra'!$B$2)+1/ISNUMBER(SEARCH(SUBSTITUTE(UPPER($D336)," ",""),'DM_HinhThucChiTra'!$C$2:$C$5)),1)),"Không tìm thấy"))</f>
        <v/>
      </c>
      <c r="I336" s="5">
        <f>IF($E336="","",IFERROR(INDEX('DM_HinhThucKham'!$B$2:$B$3,AGGREGATE(15,6,ROW('DM_HinhThucKham'!$B$2:$B$3)-ROW('DM_HinhThucKham'!$B$2)+1/ISNUMBER(SEARCH(SUBSTITUTE(UPPER($E336)," ",""),'DM_HinhThucKham'!$C$2:$C$3)),1)),"Không tìm thấy"))</f>
        <v/>
      </c>
      <c r="P336" s="5">
        <f>IF($K336="","",IFERROR(INDEX('DM_DanToc'!$B$2:$B$78,AGGREGATE(15,6,ROW('DM_DanToc'!$B$2:$B$78)-ROW('DM_DanToc'!$B$2)+1/ISNUMBER(SEARCH(SUBSTITUTE(UPPER($K336)," ",""),'DM_DanToc'!$C$2:$C$78)),1)),"Không tìm thấy"))</f>
        <v/>
      </c>
      <c r="W336" s="5">
        <f>IF($Q336="","",IFERROR(INDEX('DM_TinhThanh'!$B$2:$B$35,AGGREGATE(15,6,ROW('DM_TinhThanh'!$B$2:$B$35)-ROW('DM_TinhThanh'!$B$2)+1/ISNUMBER(SEARCH(SUBSTITUTE(UPPER($Q336)," ",""),'DM_TinhThanh'!$C$2:$C$35)),1)),"Không tìm thấy"))</f>
        <v/>
      </c>
      <c r="Y336" s="5">
        <f>IF($R336="","",IFERROR(INDEX('DM_XaPhuong'!$B$2:$B$169,AGGREGATE(15,6,ROW('DM_XaPhuong'!$B$2:$B$169)-ROW('DM_XaPhuong'!$B$2)+1/ISNUMBER(SEARCH(SUBSTITUTE(UPPER($R336)," ",""),'DM_XaPhuong'!$C$2:$C$169)),1)),"Không tìm thấy"))</f>
        <v/>
      </c>
      <c r="AB336" s="5">
        <f>IF($T336="","",IFERROR(INDEX('DM_NgheNghiep'!$B$2:$B$11,AGGREGATE(15,6,ROW('DM_NgheNghiep'!$B$2:$B$11)-ROW('DM_NgheNghiep'!$B$2)+1/ISNUMBER(SEARCH(SUBSTITUTE(UPPER($T336)," ",""),'DM_NgheNghiep'!$C$2:$C$11)),1)),"Không tìm thấy"))</f>
        <v/>
      </c>
      <c r="AD336" s="5">
        <f>IF($U336="","",IFERROR(INDEX('DM_NoiCongTac'!$B$2:$B$11,AGGREGATE(15,6,ROW('DM_NoiCongTac'!$B$2:$B$11)-ROW('DM_NoiCongTac'!$B$2)+1/ISNUMBER(SEARCH(SUBSTITUTE(UPPER($U336)," ",""),'DM_NoiCongTac'!$C$2:$C$11)),1)),"Không tìm thấy"))</f>
        <v/>
      </c>
      <c r="AF336" s="5">
        <f>IF($V336="","",IFERROR(INDEX('DM_XaPhuong'!$B$2:$B$169,AGGREGATE(15,6,ROW('DM_XaPhuong'!$B$2:$B$169)-ROW('DM_XaPhuong'!$B$2)+1/ISNUMBER(SEARCH(SUBSTITUTE(UPPER($V336)," ",""),'DM_XaPhuong'!$C$2:$C$169)),1)),"Không tìm thấy"))</f>
        <v/>
      </c>
    </row>
    <row r="337">
      <c r="C337" s="5">
        <f>IF($B337="","",IFERROR(INDEX('DM_DoiTuong'!$B$2:$B$19,AGGREGATE(15,6,ROW('DM_DoiTuong'!$B$2:$B$19)-ROW('DM_DoiTuong'!$B$2)+1/ISNUMBER(SEARCH(SUBSTITUTE(UPPER($B337)," ",""),'DM_DoiTuong'!$C$2:$C$19)),1)),"Không tìm thấy"))</f>
        <v/>
      </c>
      <c r="E337" s="5">
        <f>IF($C337="","",IFERROR(INDEX('DM_DiaDiemKham'!$B$2:$B$6,AGGREGATE(15,6,ROW('DM_DiaDiemKham'!$B$2:$B$6)-ROW('DM_DiaDiemKham'!$B$2)+1/ISNUMBER(SEARCH(SUBSTITUTE(UPPER($C337)," ",""),'DM_DiaDiemKham'!$C$2:$C$6)),1)),"Không tìm thấy"))</f>
        <v/>
      </c>
      <c r="G337" s="5">
        <f>IF($D337="","",IFERROR(INDEX('DM_HinhThucChiTra'!$B$2:$B$5,AGGREGATE(15,6,ROW('DM_HinhThucChiTra'!$B$2:$B$5)-ROW('DM_HinhThucChiTra'!$B$2)+1/ISNUMBER(SEARCH(SUBSTITUTE(UPPER($D337)," ",""),'DM_HinhThucChiTra'!$C$2:$C$5)),1)),"Không tìm thấy"))</f>
        <v/>
      </c>
      <c r="I337" s="5">
        <f>IF($E337="","",IFERROR(INDEX('DM_HinhThucKham'!$B$2:$B$3,AGGREGATE(15,6,ROW('DM_HinhThucKham'!$B$2:$B$3)-ROW('DM_HinhThucKham'!$B$2)+1/ISNUMBER(SEARCH(SUBSTITUTE(UPPER($E337)," ",""),'DM_HinhThucKham'!$C$2:$C$3)),1)),"Không tìm thấy"))</f>
        <v/>
      </c>
      <c r="P337" s="5">
        <f>IF($K337="","",IFERROR(INDEX('DM_DanToc'!$B$2:$B$78,AGGREGATE(15,6,ROW('DM_DanToc'!$B$2:$B$78)-ROW('DM_DanToc'!$B$2)+1/ISNUMBER(SEARCH(SUBSTITUTE(UPPER($K337)," ",""),'DM_DanToc'!$C$2:$C$78)),1)),"Không tìm thấy"))</f>
        <v/>
      </c>
      <c r="W337" s="5">
        <f>IF($Q337="","",IFERROR(INDEX('DM_TinhThanh'!$B$2:$B$35,AGGREGATE(15,6,ROW('DM_TinhThanh'!$B$2:$B$35)-ROW('DM_TinhThanh'!$B$2)+1/ISNUMBER(SEARCH(SUBSTITUTE(UPPER($Q337)," ",""),'DM_TinhThanh'!$C$2:$C$35)),1)),"Không tìm thấy"))</f>
        <v/>
      </c>
      <c r="Y337" s="5">
        <f>IF($R337="","",IFERROR(INDEX('DM_XaPhuong'!$B$2:$B$169,AGGREGATE(15,6,ROW('DM_XaPhuong'!$B$2:$B$169)-ROW('DM_XaPhuong'!$B$2)+1/ISNUMBER(SEARCH(SUBSTITUTE(UPPER($R337)," ",""),'DM_XaPhuong'!$C$2:$C$169)),1)),"Không tìm thấy"))</f>
        <v/>
      </c>
      <c r="AB337" s="5">
        <f>IF($T337="","",IFERROR(INDEX('DM_NgheNghiep'!$B$2:$B$11,AGGREGATE(15,6,ROW('DM_NgheNghiep'!$B$2:$B$11)-ROW('DM_NgheNghiep'!$B$2)+1/ISNUMBER(SEARCH(SUBSTITUTE(UPPER($T337)," ",""),'DM_NgheNghiep'!$C$2:$C$11)),1)),"Không tìm thấy"))</f>
        <v/>
      </c>
      <c r="AD337" s="5">
        <f>IF($U337="","",IFERROR(INDEX('DM_NoiCongTac'!$B$2:$B$11,AGGREGATE(15,6,ROW('DM_NoiCongTac'!$B$2:$B$11)-ROW('DM_NoiCongTac'!$B$2)+1/ISNUMBER(SEARCH(SUBSTITUTE(UPPER($U337)," ",""),'DM_NoiCongTac'!$C$2:$C$11)),1)),"Không tìm thấy"))</f>
        <v/>
      </c>
      <c r="AF337" s="5">
        <f>IF($V337="","",IFERROR(INDEX('DM_XaPhuong'!$B$2:$B$169,AGGREGATE(15,6,ROW('DM_XaPhuong'!$B$2:$B$169)-ROW('DM_XaPhuong'!$B$2)+1/ISNUMBER(SEARCH(SUBSTITUTE(UPPER($V337)," ",""),'DM_XaPhuong'!$C$2:$C$169)),1)),"Không tìm thấy"))</f>
        <v/>
      </c>
    </row>
    <row r="338">
      <c r="C338" s="5">
        <f>IF($B338="","",IFERROR(INDEX('DM_DoiTuong'!$B$2:$B$19,AGGREGATE(15,6,ROW('DM_DoiTuong'!$B$2:$B$19)-ROW('DM_DoiTuong'!$B$2)+1/ISNUMBER(SEARCH(SUBSTITUTE(UPPER($B338)," ",""),'DM_DoiTuong'!$C$2:$C$19)),1)),"Không tìm thấy"))</f>
        <v/>
      </c>
      <c r="E338" s="5">
        <f>IF($C338="","",IFERROR(INDEX('DM_DiaDiemKham'!$B$2:$B$6,AGGREGATE(15,6,ROW('DM_DiaDiemKham'!$B$2:$B$6)-ROW('DM_DiaDiemKham'!$B$2)+1/ISNUMBER(SEARCH(SUBSTITUTE(UPPER($C338)," ",""),'DM_DiaDiemKham'!$C$2:$C$6)),1)),"Không tìm thấy"))</f>
        <v/>
      </c>
      <c r="G338" s="5">
        <f>IF($D338="","",IFERROR(INDEX('DM_HinhThucChiTra'!$B$2:$B$5,AGGREGATE(15,6,ROW('DM_HinhThucChiTra'!$B$2:$B$5)-ROW('DM_HinhThucChiTra'!$B$2)+1/ISNUMBER(SEARCH(SUBSTITUTE(UPPER($D338)," ",""),'DM_HinhThucChiTra'!$C$2:$C$5)),1)),"Không tìm thấy"))</f>
        <v/>
      </c>
      <c r="I338" s="5">
        <f>IF($E338="","",IFERROR(INDEX('DM_HinhThucKham'!$B$2:$B$3,AGGREGATE(15,6,ROW('DM_HinhThucKham'!$B$2:$B$3)-ROW('DM_HinhThucKham'!$B$2)+1/ISNUMBER(SEARCH(SUBSTITUTE(UPPER($E338)," ",""),'DM_HinhThucKham'!$C$2:$C$3)),1)),"Không tìm thấy"))</f>
        <v/>
      </c>
      <c r="P338" s="5">
        <f>IF($K338="","",IFERROR(INDEX('DM_DanToc'!$B$2:$B$78,AGGREGATE(15,6,ROW('DM_DanToc'!$B$2:$B$78)-ROW('DM_DanToc'!$B$2)+1/ISNUMBER(SEARCH(SUBSTITUTE(UPPER($K338)," ",""),'DM_DanToc'!$C$2:$C$78)),1)),"Không tìm thấy"))</f>
        <v/>
      </c>
      <c r="W338" s="5">
        <f>IF($Q338="","",IFERROR(INDEX('DM_TinhThanh'!$B$2:$B$35,AGGREGATE(15,6,ROW('DM_TinhThanh'!$B$2:$B$35)-ROW('DM_TinhThanh'!$B$2)+1/ISNUMBER(SEARCH(SUBSTITUTE(UPPER($Q338)," ",""),'DM_TinhThanh'!$C$2:$C$35)),1)),"Không tìm thấy"))</f>
        <v/>
      </c>
      <c r="Y338" s="5">
        <f>IF($R338="","",IFERROR(INDEX('DM_XaPhuong'!$B$2:$B$169,AGGREGATE(15,6,ROW('DM_XaPhuong'!$B$2:$B$169)-ROW('DM_XaPhuong'!$B$2)+1/ISNUMBER(SEARCH(SUBSTITUTE(UPPER($R338)," ",""),'DM_XaPhuong'!$C$2:$C$169)),1)),"Không tìm thấy"))</f>
        <v/>
      </c>
      <c r="AB338" s="5">
        <f>IF($T338="","",IFERROR(INDEX('DM_NgheNghiep'!$B$2:$B$11,AGGREGATE(15,6,ROW('DM_NgheNghiep'!$B$2:$B$11)-ROW('DM_NgheNghiep'!$B$2)+1/ISNUMBER(SEARCH(SUBSTITUTE(UPPER($T338)," ",""),'DM_NgheNghiep'!$C$2:$C$11)),1)),"Không tìm thấy"))</f>
        <v/>
      </c>
      <c r="AD338" s="5">
        <f>IF($U338="","",IFERROR(INDEX('DM_NoiCongTac'!$B$2:$B$11,AGGREGATE(15,6,ROW('DM_NoiCongTac'!$B$2:$B$11)-ROW('DM_NoiCongTac'!$B$2)+1/ISNUMBER(SEARCH(SUBSTITUTE(UPPER($U338)," ",""),'DM_NoiCongTac'!$C$2:$C$11)),1)),"Không tìm thấy"))</f>
        <v/>
      </c>
      <c r="AF338" s="5">
        <f>IF($V338="","",IFERROR(INDEX('DM_XaPhuong'!$B$2:$B$169,AGGREGATE(15,6,ROW('DM_XaPhuong'!$B$2:$B$169)-ROW('DM_XaPhuong'!$B$2)+1/ISNUMBER(SEARCH(SUBSTITUTE(UPPER($V338)," ",""),'DM_XaPhuong'!$C$2:$C$169)),1)),"Không tìm thấy"))</f>
        <v/>
      </c>
    </row>
    <row r="339">
      <c r="C339" s="5">
        <f>IF($B339="","",IFERROR(INDEX('DM_DoiTuong'!$B$2:$B$19,AGGREGATE(15,6,ROW('DM_DoiTuong'!$B$2:$B$19)-ROW('DM_DoiTuong'!$B$2)+1/ISNUMBER(SEARCH(SUBSTITUTE(UPPER($B339)," ",""),'DM_DoiTuong'!$C$2:$C$19)),1)),"Không tìm thấy"))</f>
        <v/>
      </c>
      <c r="E339" s="5">
        <f>IF($C339="","",IFERROR(INDEX('DM_DiaDiemKham'!$B$2:$B$6,AGGREGATE(15,6,ROW('DM_DiaDiemKham'!$B$2:$B$6)-ROW('DM_DiaDiemKham'!$B$2)+1/ISNUMBER(SEARCH(SUBSTITUTE(UPPER($C339)," ",""),'DM_DiaDiemKham'!$C$2:$C$6)),1)),"Không tìm thấy"))</f>
        <v/>
      </c>
      <c r="G339" s="5">
        <f>IF($D339="","",IFERROR(INDEX('DM_HinhThucChiTra'!$B$2:$B$5,AGGREGATE(15,6,ROW('DM_HinhThucChiTra'!$B$2:$B$5)-ROW('DM_HinhThucChiTra'!$B$2)+1/ISNUMBER(SEARCH(SUBSTITUTE(UPPER($D339)," ",""),'DM_HinhThucChiTra'!$C$2:$C$5)),1)),"Không tìm thấy"))</f>
        <v/>
      </c>
      <c r="I339" s="5">
        <f>IF($E339="","",IFERROR(INDEX('DM_HinhThucKham'!$B$2:$B$3,AGGREGATE(15,6,ROW('DM_HinhThucKham'!$B$2:$B$3)-ROW('DM_HinhThucKham'!$B$2)+1/ISNUMBER(SEARCH(SUBSTITUTE(UPPER($E339)," ",""),'DM_HinhThucKham'!$C$2:$C$3)),1)),"Không tìm thấy"))</f>
        <v/>
      </c>
      <c r="P339" s="5">
        <f>IF($K339="","",IFERROR(INDEX('DM_DanToc'!$B$2:$B$78,AGGREGATE(15,6,ROW('DM_DanToc'!$B$2:$B$78)-ROW('DM_DanToc'!$B$2)+1/ISNUMBER(SEARCH(SUBSTITUTE(UPPER($K339)," ",""),'DM_DanToc'!$C$2:$C$78)),1)),"Không tìm thấy"))</f>
        <v/>
      </c>
      <c r="W339" s="5">
        <f>IF($Q339="","",IFERROR(INDEX('DM_TinhThanh'!$B$2:$B$35,AGGREGATE(15,6,ROW('DM_TinhThanh'!$B$2:$B$35)-ROW('DM_TinhThanh'!$B$2)+1/ISNUMBER(SEARCH(SUBSTITUTE(UPPER($Q339)," ",""),'DM_TinhThanh'!$C$2:$C$35)),1)),"Không tìm thấy"))</f>
        <v/>
      </c>
      <c r="Y339" s="5">
        <f>IF($R339="","",IFERROR(INDEX('DM_XaPhuong'!$B$2:$B$169,AGGREGATE(15,6,ROW('DM_XaPhuong'!$B$2:$B$169)-ROW('DM_XaPhuong'!$B$2)+1/ISNUMBER(SEARCH(SUBSTITUTE(UPPER($R339)," ",""),'DM_XaPhuong'!$C$2:$C$169)),1)),"Không tìm thấy"))</f>
        <v/>
      </c>
      <c r="AB339" s="5">
        <f>IF($T339="","",IFERROR(INDEX('DM_NgheNghiep'!$B$2:$B$11,AGGREGATE(15,6,ROW('DM_NgheNghiep'!$B$2:$B$11)-ROW('DM_NgheNghiep'!$B$2)+1/ISNUMBER(SEARCH(SUBSTITUTE(UPPER($T339)," ",""),'DM_NgheNghiep'!$C$2:$C$11)),1)),"Không tìm thấy"))</f>
        <v/>
      </c>
      <c r="AD339" s="5">
        <f>IF($U339="","",IFERROR(INDEX('DM_NoiCongTac'!$B$2:$B$11,AGGREGATE(15,6,ROW('DM_NoiCongTac'!$B$2:$B$11)-ROW('DM_NoiCongTac'!$B$2)+1/ISNUMBER(SEARCH(SUBSTITUTE(UPPER($U339)," ",""),'DM_NoiCongTac'!$C$2:$C$11)),1)),"Không tìm thấy"))</f>
        <v/>
      </c>
      <c r="AF339" s="5">
        <f>IF($V339="","",IFERROR(INDEX('DM_XaPhuong'!$B$2:$B$169,AGGREGATE(15,6,ROW('DM_XaPhuong'!$B$2:$B$169)-ROW('DM_XaPhuong'!$B$2)+1/ISNUMBER(SEARCH(SUBSTITUTE(UPPER($V339)," ",""),'DM_XaPhuong'!$C$2:$C$169)),1)),"Không tìm thấy"))</f>
        <v/>
      </c>
    </row>
    <row r="340">
      <c r="C340" s="5">
        <f>IF($B340="","",IFERROR(INDEX('DM_DoiTuong'!$B$2:$B$19,AGGREGATE(15,6,ROW('DM_DoiTuong'!$B$2:$B$19)-ROW('DM_DoiTuong'!$B$2)+1/ISNUMBER(SEARCH(SUBSTITUTE(UPPER($B340)," ",""),'DM_DoiTuong'!$C$2:$C$19)),1)),"Không tìm thấy"))</f>
        <v/>
      </c>
      <c r="E340" s="5">
        <f>IF($C340="","",IFERROR(INDEX('DM_DiaDiemKham'!$B$2:$B$6,AGGREGATE(15,6,ROW('DM_DiaDiemKham'!$B$2:$B$6)-ROW('DM_DiaDiemKham'!$B$2)+1/ISNUMBER(SEARCH(SUBSTITUTE(UPPER($C340)," ",""),'DM_DiaDiemKham'!$C$2:$C$6)),1)),"Không tìm thấy"))</f>
        <v/>
      </c>
      <c r="G340" s="5">
        <f>IF($D340="","",IFERROR(INDEX('DM_HinhThucChiTra'!$B$2:$B$5,AGGREGATE(15,6,ROW('DM_HinhThucChiTra'!$B$2:$B$5)-ROW('DM_HinhThucChiTra'!$B$2)+1/ISNUMBER(SEARCH(SUBSTITUTE(UPPER($D340)," ",""),'DM_HinhThucChiTra'!$C$2:$C$5)),1)),"Không tìm thấy"))</f>
        <v/>
      </c>
      <c r="I340" s="5">
        <f>IF($E340="","",IFERROR(INDEX('DM_HinhThucKham'!$B$2:$B$3,AGGREGATE(15,6,ROW('DM_HinhThucKham'!$B$2:$B$3)-ROW('DM_HinhThucKham'!$B$2)+1/ISNUMBER(SEARCH(SUBSTITUTE(UPPER($E340)," ",""),'DM_HinhThucKham'!$C$2:$C$3)),1)),"Không tìm thấy"))</f>
        <v/>
      </c>
      <c r="P340" s="5">
        <f>IF($K340="","",IFERROR(INDEX('DM_DanToc'!$B$2:$B$78,AGGREGATE(15,6,ROW('DM_DanToc'!$B$2:$B$78)-ROW('DM_DanToc'!$B$2)+1/ISNUMBER(SEARCH(SUBSTITUTE(UPPER($K340)," ",""),'DM_DanToc'!$C$2:$C$78)),1)),"Không tìm thấy"))</f>
        <v/>
      </c>
      <c r="W340" s="5">
        <f>IF($Q340="","",IFERROR(INDEX('DM_TinhThanh'!$B$2:$B$35,AGGREGATE(15,6,ROW('DM_TinhThanh'!$B$2:$B$35)-ROW('DM_TinhThanh'!$B$2)+1/ISNUMBER(SEARCH(SUBSTITUTE(UPPER($Q340)," ",""),'DM_TinhThanh'!$C$2:$C$35)),1)),"Không tìm thấy"))</f>
        <v/>
      </c>
      <c r="Y340" s="5">
        <f>IF($R340="","",IFERROR(INDEX('DM_XaPhuong'!$B$2:$B$169,AGGREGATE(15,6,ROW('DM_XaPhuong'!$B$2:$B$169)-ROW('DM_XaPhuong'!$B$2)+1/ISNUMBER(SEARCH(SUBSTITUTE(UPPER($R340)," ",""),'DM_XaPhuong'!$C$2:$C$169)),1)),"Không tìm thấy"))</f>
        <v/>
      </c>
      <c r="AB340" s="5">
        <f>IF($T340="","",IFERROR(INDEX('DM_NgheNghiep'!$B$2:$B$11,AGGREGATE(15,6,ROW('DM_NgheNghiep'!$B$2:$B$11)-ROW('DM_NgheNghiep'!$B$2)+1/ISNUMBER(SEARCH(SUBSTITUTE(UPPER($T340)," ",""),'DM_NgheNghiep'!$C$2:$C$11)),1)),"Không tìm thấy"))</f>
        <v/>
      </c>
      <c r="AD340" s="5">
        <f>IF($U340="","",IFERROR(INDEX('DM_NoiCongTac'!$B$2:$B$11,AGGREGATE(15,6,ROW('DM_NoiCongTac'!$B$2:$B$11)-ROW('DM_NoiCongTac'!$B$2)+1/ISNUMBER(SEARCH(SUBSTITUTE(UPPER($U340)," ",""),'DM_NoiCongTac'!$C$2:$C$11)),1)),"Không tìm thấy"))</f>
        <v/>
      </c>
      <c r="AF340" s="5">
        <f>IF($V340="","",IFERROR(INDEX('DM_XaPhuong'!$B$2:$B$169,AGGREGATE(15,6,ROW('DM_XaPhuong'!$B$2:$B$169)-ROW('DM_XaPhuong'!$B$2)+1/ISNUMBER(SEARCH(SUBSTITUTE(UPPER($V340)," ",""),'DM_XaPhuong'!$C$2:$C$169)),1)),"Không tìm thấy"))</f>
        <v/>
      </c>
    </row>
    <row r="341">
      <c r="C341" s="5">
        <f>IF($B341="","",IFERROR(INDEX('DM_DoiTuong'!$B$2:$B$19,AGGREGATE(15,6,ROW('DM_DoiTuong'!$B$2:$B$19)-ROW('DM_DoiTuong'!$B$2)+1/ISNUMBER(SEARCH(SUBSTITUTE(UPPER($B341)," ",""),'DM_DoiTuong'!$C$2:$C$19)),1)),"Không tìm thấy"))</f>
        <v/>
      </c>
      <c r="E341" s="5">
        <f>IF($C341="","",IFERROR(INDEX('DM_DiaDiemKham'!$B$2:$B$6,AGGREGATE(15,6,ROW('DM_DiaDiemKham'!$B$2:$B$6)-ROW('DM_DiaDiemKham'!$B$2)+1/ISNUMBER(SEARCH(SUBSTITUTE(UPPER($C341)," ",""),'DM_DiaDiemKham'!$C$2:$C$6)),1)),"Không tìm thấy"))</f>
        <v/>
      </c>
      <c r="G341" s="5">
        <f>IF($D341="","",IFERROR(INDEX('DM_HinhThucChiTra'!$B$2:$B$5,AGGREGATE(15,6,ROW('DM_HinhThucChiTra'!$B$2:$B$5)-ROW('DM_HinhThucChiTra'!$B$2)+1/ISNUMBER(SEARCH(SUBSTITUTE(UPPER($D341)," ",""),'DM_HinhThucChiTra'!$C$2:$C$5)),1)),"Không tìm thấy"))</f>
        <v/>
      </c>
      <c r="I341" s="5">
        <f>IF($E341="","",IFERROR(INDEX('DM_HinhThucKham'!$B$2:$B$3,AGGREGATE(15,6,ROW('DM_HinhThucKham'!$B$2:$B$3)-ROW('DM_HinhThucKham'!$B$2)+1/ISNUMBER(SEARCH(SUBSTITUTE(UPPER($E341)," ",""),'DM_HinhThucKham'!$C$2:$C$3)),1)),"Không tìm thấy"))</f>
        <v/>
      </c>
      <c r="P341" s="5">
        <f>IF($K341="","",IFERROR(INDEX('DM_DanToc'!$B$2:$B$78,AGGREGATE(15,6,ROW('DM_DanToc'!$B$2:$B$78)-ROW('DM_DanToc'!$B$2)+1/ISNUMBER(SEARCH(SUBSTITUTE(UPPER($K341)," ",""),'DM_DanToc'!$C$2:$C$78)),1)),"Không tìm thấy"))</f>
        <v/>
      </c>
      <c r="W341" s="5">
        <f>IF($Q341="","",IFERROR(INDEX('DM_TinhThanh'!$B$2:$B$35,AGGREGATE(15,6,ROW('DM_TinhThanh'!$B$2:$B$35)-ROW('DM_TinhThanh'!$B$2)+1/ISNUMBER(SEARCH(SUBSTITUTE(UPPER($Q341)," ",""),'DM_TinhThanh'!$C$2:$C$35)),1)),"Không tìm thấy"))</f>
        <v/>
      </c>
      <c r="Y341" s="5">
        <f>IF($R341="","",IFERROR(INDEX('DM_XaPhuong'!$B$2:$B$169,AGGREGATE(15,6,ROW('DM_XaPhuong'!$B$2:$B$169)-ROW('DM_XaPhuong'!$B$2)+1/ISNUMBER(SEARCH(SUBSTITUTE(UPPER($R341)," ",""),'DM_XaPhuong'!$C$2:$C$169)),1)),"Không tìm thấy"))</f>
        <v/>
      </c>
      <c r="AB341" s="5">
        <f>IF($T341="","",IFERROR(INDEX('DM_NgheNghiep'!$B$2:$B$11,AGGREGATE(15,6,ROW('DM_NgheNghiep'!$B$2:$B$11)-ROW('DM_NgheNghiep'!$B$2)+1/ISNUMBER(SEARCH(SUBSTITUTE(UPPER($T341)," ",""),'DM_NgheNghiep'!$C$2:$C$11)),1)),"Không tìm thấy"))</f>
        <v/>
      </c>
      <c r="AD341" s="5">
        <f>IF($U341="","",IFERROR(INDEX('DM_NoiCongTac'!$B$2:$B$11,AGGREGATE(15,6,ROW('DM_NoiCongTac'!$B$2:$B$11)-ROW('DM_NoiCongTac'!$B$2)+1/ISNUMBER(SEARCH(SUBSTITUTE(UPPER($U341)," ",""),'DM_NoiCongTac'!$C$2:$C$11)),1)),"Không tìm thấy"))</f>
        <v/>
      </c>
      <c r="AF341" s="5">
        <f>IF($V341="","",IFERROR(INDEX('DM_XaPhuong'!$B$2:$B$169,AGGREGATE(15,6,ROW('DM_XaPhuong'!$B$2:$B$169)-ROW('DM_XaPhuong'!$B$2)+1/ISNUMBER(SEARCH(SUBSTITUTE(UPPER($V341)," ",""),'DM_XaPhuong'!$C$2:$C$169)),1)),"Không tìm thấy"))</f>
        <v/>
      </c>
    </row>
    <row r="342">
      <c r="C342" s="5">
        <f>IF($B342="","",IFERROR(INDEX('DM_DoiTuong'!$B$2:$B$19,AGGREGATE(15,6,ROW('DM_DoiTuong'!$B$2:$B$19)-ROW('DM_DoiTuong'!$B$2)+1/ISNUMBER(SEARCH(SUBSTITUTE(UPPER($B342)," ",""),'DM_DoiTuong'!$C$2:$C$19)),1)),"Không tìm thấy"))</f>
        <v/>
      </c>
      <c r="E342" s="5">
        <f>IF($C342="","",IFERROR(INDEX('DM_DiaDiemKham'!$B$2:$B$6,AGGREGATE(15,6,ROW('DM_DiaDiemKham'!$B$2:$B$6)-ROW('DM_DiaDiemKham'!$B$2)+1/ISNUMBER(SEARCH(SUBSTITUTE(UPPER($C342)," ",""),'DM_DiaDiemKham'!$C$2:$C$6)),1)),"Không tìm thấy"))</f>
        <v/>
      </c>
      <c r="G342" s="5">
        <f>IF($D342="","",IFERROR(INDEX('DM_HinhThucChiTra'!$B$2:$B$5,AGGREGATE(15,6,ROW('DM_HinhThucChiTra'!$B$2:$B$5)-ROW('DM_HinhThucChiTra'!$B$2)+1/ISNUMBER(SEARCH(SUBSTITUTE(UPPER($D342)," ",""),'DM_HinhThucChiTra'!$C$2:$C$5)),1)),"Không tìm thấy"))</f>
        <v/>
      </c>
      <c r="I342" s="5">
        <f>IF($E342="","",IFERROR(INDEX('DM_HinhThucKham'!$B$2:$B$3,AGGREGATE(15,6,ROW('DM_HinhThucKham'!$B$2:$B$3)-ROW('DM_HinhThucKham'!$B$2)+1/ISNUMBER(SEARCH(SUBSTITUTE(UPPER($E342)," ",""),'DM_HinhThucKham'!$C$2:$C$3)),1)),"Không tìm thấy"))</f>
        <v/>
      </c>
      <c r="P342" s="5">
        <f>IF($K342="","",IFERROR(INDEX('DM_DanToc'!$B$2:$B$78,AGGREGATE(15,6,ROW('DM_DanToc'!$B$2:$B$78)-ROW('DM_DanToc'!$B$2)+1/ISNUMBER(SEARCH(SUBSTITUTE(UPPER($K342)," ",""),'DM_DanToc'!$C$2:$C$78)),1)),"Không tìm thấy"))</f>
        <v/>
      </c>
      <c r="W342" s="5">
        <f>IF($Q342="","",IFERROR(INDEX('DM_TinhThanh'!$B$2:$B$35,AGGREGATE(15,6,ROW('DM_TinhThanh'!$B$2:$B$35)-ROW('DM_TinhThanh'!$B$2)+1/ISNUMBER(SEARCH(SUBSTITUTE(UPPER($Q342)," ",""),'DM_TinhThanh'!$C$2:$C$35)),1)),"Không tìm thấy"))</f>
        <v/>
      </c>
      <c r="Y342" s="5">
        <f>IF($R342="","",IFERROR(INDEX('DM_XaPhuong'!$B$2:$B$169,AGGREGATE(15,6,ROW('DM_XaPhuong'!$B$2:$B$169)-ROW('DM_XaPhuong'!$B$2)+1/ISNUMBER(SEARCH(SUBSTITUTE(UPPER($R342)," ",""),'DM_XaPhuong'!$C$2:$C$169)),1)),"Không tìm thấy"))</f>
        <v/>
      </c>
      <c r="AB342" s="5">
        <f>IF($T342="","",IFERROR(INDEX('DM_NgheNghiep'!$B$2:$B$11,AGGREGATE(15,6,ROW('DM_NgheNghiep'!$B$2:$B$11)-ROW('DM_NgheNghiep'!$B$2)+1/ISNUMBER(SEARCH(SUBSTITUTE(UPPER($T342)," ",""),'DM_NgheNghiep'!$C$2:$C$11)),1)),"Không tìm thấy"))</f>
        <v/>
      </c>
      <c r="AD342" s="5">
        <f>IF($U342="","",IFERROR(INDEX('DM_NoiCongTac'!$B$2:$B$11,AGGREGATE(15,6,ROW('DM_NoiCongTac'!$B$2:$B$11)-ROW('DM_NoiCongTac'!$B$2)+1/ISNUMBER(SEARCH(SUBSTITUTE(UPPER($U342)," ",""),'DM_NoiCongTac'!$C$2:$C$11)),1)),"Không tìm thấy"))</f>
        <v/>
      </c>
      <c r="AF342" s="5">
        <f>IF($V342="","",IFERROR(INDEX('DM_XaPhuong'!$B$2:$B$169,AGGREGATE(15,6,ROW('DM_XaPhuong'!$B$2:$B$169)-ROW('DM_XaPhuong'!$B$2)+1/ISNUMBER(SEARCH(SUBSTITUTE(UPPER($V342)," ",""),'DM_XaPhuong'!$C$2:$C$169)),1)),"Không tìm thấy"))</f>
        <v/>
      </c>
    </row>
    <row r="343">
      <c r="C343" s="5">
        <f>IF($B343="","",IFERROR(INDEX('DM_DoiTuong'!$B$2:$B$19,AGGREGATE(15,6,ROW('DM_DoiTuong'!$B$2:$B$19)-ROW('DM_DoiTuong'!$B$2)+1/ISNUMBER(SEARCH(SUBSTITUTE(UPPER($B343)," ",""),'DM_DoiTuong'!$C$2:$C$19)),1)),"Không tìm thấy"))</f>
        <v/>
      </c>
      <c r="E343" s="5">
        <f>IF($C343="","",IFERROR(INDEX('DM_DiaDiemKham'!$B$2:$B$6,AGGREGATE(15,6,ROW('DM_DiaDiemKham'!$B$2:$B$6)-ROW('DM_DiaDiemKham'!$B$2)+1/ISNUMBER(SEARCH(SUBSTITUTE(UPPER($C343)," ",""),'DM_DiaDiemKham'!$C$2:$C$6)),1)),"Không tìm thấy"))</f>
        <v/>
      </c>
      <c r="G343" s="5">
        <f>IF($D343="","",IFERROR(INDEX('DM_HinhThucChiTra'!$B$2:$B$5,AGGREGATE(15,6,ROW('DM_HinhThucChiTra'!$B$2:$B$5)-ROW('DM_HinhThucChiTra'!$B$2)+1/ISNUMBER(SEARCH(SUBSTITUTE(UPPER($D343)," ",""),'DM_HinhThucChiTra'!$C$2:$C$5)),1)),"Không tìm thấy"))</f>
        <v/>
      </c>
      <c r="I343" s="5">
        <f>IF($E343="","",IFERROR(INDEX('DM_HinhThucKham'!$B$2:$B$3,AGGREGATE(15,6,ROW('DM_HinhThucKham'!$B$2:$B$3)-ROW('DM_HinhThucKham'!$B$2)+1/ISNUMBER(SEARCH(SUBSTITUTE(UPPER($E343)," ",""),'DM_HinhThucKham'!$C$2:$C$3)),1)),"Không tìm thấy"))</f>
        <v/>
      </c>
      <c r="P343" s="5">
        <f>IF($K343="","",IFERROR(INDEX('DM_DanToc'!$B$2:$B$78,AGGREGATE(15,6,ROW('DM_DanToc'!$B$2:$B$78)-ROW('DM_DanToc'!$B$2)+1/ISNUMBER(SEARCH(SUBSTITUTE(UPPER($K343)," ",""),'DM_DanToc'!$C$2:$C$78)),1)),"Không tìm thấy"))</f>
        <v/>
      </c>
      <c r="W343" s="5">
        <f>IF($Q343="","",IFERROR(INDEX('DM_TinhThanh'!$B$2:$B$35,AGGREGATE(15,6,ROW('DM_TinhThanh'!$B$2:$B$35)-ROW('DM_TinhThanh'!$B$2)+1/ISNUMBER(SEARCH(SUBSTITUTE(UPPER($Q343)," ",""),'DM_TinhThanh'!$C$2:$C$35)),1)),"Không tìm thấy"))</f>
        <v/>
      </c>
      <c r="Y343" s="5">
        <f>IF($R343="","",IFERROR(INDEX('DM_XaPhuong'!$B$2:$B$169,AGGREGATE(15,6,ROW('DM_XaPhuong'!$B$2:$B$169)-ROW('DM_XaPhuong'!$B$2)+1/ISNUMBER(SEARCH(SUBSTITUTE(UPPER($R343)," ",""),'DM_XaPhuong'!$C$2:$C$169)),1)),"Không tìm thấy"))</f>
        <v/>
      </c>
      <c r="AB343" s="5">
        <f>IF($T343="","",IFERROR(INDEX('DM_NgheNghiep'!$B$2:$B$11,AGGREGATE(15,6,ROW('DM_NgheNghiep'!$B$2:$B$11)-ROW('DM_NgheNghiep'!$B$2)+1/ISNUMBER(SEARCH(SUBSTITUTE(UPPER($T343)," ",""),'DM_NgheNghiep'!$C$2:$C$11)),1)),"Không tìm thấy"))</f>
        <v/>
      </c>
      <c r="AD343" s="5">
        <f>IF($U343="","",IFERROR(INDEX('DM_NoiCongTac'!$B$2:$B$11,AGGREGATE(15,6,ROW('DM_NoiCongTac'!$B$2:$B$11)-ROW('DM_NoiCongTac'!$B$2)+1/ISNUMBER(SEARCH(SUBSTITUTE(UPPER($U343)," ",""),'DM_NoiCongTac'!$C$2:$C$11)),1)),"Không tìm thấy"))</f>
        <v/>
      </c>
      <c r="AF343" s="5">
        <f>IF($V343="","",IFERROR(INDEX('DM_XaPhuong'!$B$2:$B$169,AGGREGATE(15,6,ROW('DM_XaPhuong'!$B$2:$B$169)-ROW('DM_XaPhuong'!$B$2)+1/ISNUMBER(SEARCH(SUBSTITUTE(UPPER($V343)," ",""),'DM_XaPhuong'!$C$2:$C$169)),1)),"Không tìm thấy"))</f>
        <v/>
      </c>
    </row>
    <row r="344">
      <c r="C344" s="5">
        <f>IF($B344="","",IFERROR(INDEX('DM_DoiTuong'!$B$2:$B$19,AGGREGATE(15,6,ROW('DM_DoiTuong'!$B$2:$B$19)-ROW('DM_DoiTuong'!$B$2)+1/ISNUMBER(SEARCH(SUBSTITUTE(UPPER($B344)," ",""),'DM_DoiTuong'!$C$2:$C$19)),1)),"Không tìm thấy"))</f>
        <v/>
      </c>
      <c r="E344" s="5">
        <f>IF($C344="","",IFERROR(INDEX('DM_DiaDiemKham'!$B$2:$B$6,AGGREGATE(15,6,ROW('DM_DiaDiemKham'!$B$2:$B$6)-ROW('DM_DiaDiemKham'!$B$2)+1/ISNUMBER(SEARCH(SUBSTITUTE(UPPER($C344)," ",""),'DM_DiaDiemKham'!$C$2:$C$6)),1)),"Không tìm thấy"))</f>
        <v/>
      </c>
      <c r="G344" s="5">
        <f>IF($D344="","",IFERROR(INDEX('DM_HinhThucChiTra'!$B$2:$B$5,AGGREGATE(15,6,ROW('DM_HinhThucChiTra'!$B$2:$B$5)-ROW('DM_HinhThucChiTra'!$B$2)+1/ISNUMBER(SEARCH(SUBSTITUTE(UPPER($D344)," ",""),'DM_HinhThucChiTra'!$C$2:$C$5)),1)),"Không tìm thấy"))</f>
        <v/>
      </c>
      <c r="I344" s="5">
        <f>IF($E344="","",IFERROR(INDEX('DM_HinhThucKham'!$B$2:$B$3,AGGREGATE(15,6,ROW('DM_HinhThucKham'!$B$2:$B$3)-ROW('DM_HinhThucKham'!$B$2)+1/ISNUMBER(SEARCH(SUBSTITUTE(UPPER($E344)," ",""),'DM_HinhThucKham'!$C$2:$C$3)),1)),"Không tìm thấy"))</f>
        <v/>
      </c>
      <c r="P344" s="5">
        <f>IF($K344="","",IFERROR(INDEX('DM_DanToc'!$B$2:$B$78,AGGREGATE(15,6,ROW('DM_DanToc'!$B$2:$B$78)-ROW('DM_DanToc'!$B$2)+1/ISNUMBER(SEARCH(SUBSTITUTE(UPPER($K344)," ",""),'DM_DanToc'!$C$2:$C$78)),1)),"Không tìm thấy"))</f>
        <v/>
      </c>
      <c r="W344" s="5">
        <f>IF($Q344="","",IFERROR(INDEX('DM_TinhThanh'!$B$2:$B$35,AGGREGATE(15,6,ROW('DM_TinhThanh'!$B$2:$B$35)-ROW('DM_TinhThanh'!$B$2)+1/ISNUMBER(SEARCH(SUBSTITUTE(UPPER($Q344)," ",""),'DM_TinhThanh'!$C$2:$C$35)),1)),"Không tìm thấy"))</f>
        <v/>
      </c>
      <c r="Y344" s="5">
        <f>IF($R344="","",IFERROR(INDEX('DM_XaPhuong'!$B$2:$B$169,AGGREGATE(15,6,ROW('DM_XaPhuong'!$B$2:$B$169)-ROW('DM_XaPhuong'!$B$2)+1/ISNUMBER(SEARCH(SUBSTITUTE(UPPER($R344)," ",""),'DM_XaPhuong'!$C$2:$C$169)),1)),"Không tìm thấy"))</f>
        <v/>
      </c>
      <c r="AB344" s="5">
        <f>IF($T344="","",IFERROR(INDEX('DM_NgheNghiep'!$B$2:$B$11,AGGREGATE(15,6,ROW('DM_NgheNghiep'!$B$2:$B$11)-ROW('DM_NgheNghiep'!$B$2)+1/ISNUMBER(SEARCH(SUBSTITUTE(UPPER($T344)," ",""),'DM_NgheNghiep'!$C$2:$C$11)),1)),"Không tìm thấy"))</f>
        <v/>
      </c>
      <c r="AD344" s="5">
        <f>IF($U344="","",IFERROR(INDEX('DM_NoiCongTac'!$B$2:$B$11,AGGREGATE(15,6,ROW('DM_NoiCongTac'!$B$2:$B$11)-ROW('DM_NoiCongTac'!$B$2)+1/ISNUMBER(SEARCH(SUBSTITUTE(UPPER($U344)," ",""),'DM_NoiCongTac'!$C$2:$C$11)),1)),"Không tìm thấy"))</f>
        <v/>
      </c>
      <c r="AF344" s="5">
        <f>IF($V344="","",IFERROR(INDEX('DM_XaPhuong'!$B$2:$B$169,AGGREGATE(15,6,ROW('DM_XaPhuong'!$B$2:$B$169)-ROW('DM_XaPhuong'!$B$2)+1/ISNUMBER(SEARCH(SUBSTITUTE(UPPER($V344)," ",""),'DM_XaPhuong'!$C$2:$C$169)),1)),"Không tìm thấy"))</f>
        <v/>
      </c>
    </row>
    <row r="345">
      <c r="C345" s="5">
        <f>IF($B345="","",IFERROR(INDEX('DM_DoiTuong'!$B$2:$B$19,AGGREGATE(15,6,ROW('DM_DoiTuong'!$B$2:$B$19)-ROW('DM_DoiTuong'!$B$2)+1/ISNUMBER(SEARCH(SUBSTITUTE(UPPER($B345)," ",""),'DM_DoiTuong'!$C$2:$C$19)),1)),"Không tìm thấy"))</f>
        <v/>
      </c>
      <c r="E345" s="5">
        <f>IF($C345="","",IFERROR(INDEX('DM_DiaDiemKham'!$B$2:$B$6,AGGREGATE(15,6,ROW('DM_DiaDiemKham'!$B$2:$B$6)-ROW('DM_DiaDiemKham'!$B$2)+1/ISNUMBER(SEARCH(SUBSTITUTE(UPPER($C345)," ",""),'DM_DiaDiemKham'!$C$2:$C$6)),1)),"Không tìm thấy"))</f>
        <v/>
      </c>
      <c r="G345" s="5">
        <f>IF($D345="","",IFERROR(INDEX('DM_HinhThucChiTra'!$B$2:$B$5,AGGREGATE(15,6,ROW('DM_HinhThucChiTra'!$B$2:$B$5)-ROW('DM_HinhThucChiTra'!$B$2)+1/ISNUMBER(SEARCH(SUBSTITUTE(UPPER($D345)," ",""),'DM_HinhThucChiTra'!$C$2:$C$5)),1)),"Không tìm thấy"))</f>
        <v/>
      </c>
      <c r="I345" s="5">
        <f>IF($E345="","",IFERROR(INDEX('DM_HinhThucKham'!$B$2:$B$3,AGGREGATE(15,6,ROW('DM_HinhThucKham'!$B$2:$B$3)-ROW('DM_HinhThucKham'!$B$2)+1/ISNUMBER(SEARCH(SUBSTITUTE(UPPER($E345)," ",""),'DM_HinhThucKham'!$C$2:$C$3)),1)),"Không tìm thấy"))</f>
        <v/>
      </c>
      <c r="P345" s="5">
        <f>IF($K345="","",IFERROR(INDEX('DM_DanToc'!$B$2:$B$78,AGGREGATE(15,6,ROW('DM_DanToc'!$B$2:$B$78)-ROW('DM_DanToc'!$B$2)+1/ISNUMBER(SEARCH(SUBSTITUTE(UPPER($K345)," ",""),'DM_DanToc'!$C$2:$C$78)),1)),"Không tìm thấy"))</f>
        <v/>
      </c>
      <c r="W345" s="5">
        <f>IF($Q345="","",IFERROR(INDEX('DM_TinhThanh'!$B$2:$B$35,AGGREGATE(15,6,ROW('DM_TinhThanh'!$B$2:$B$35)-ROW('DM_TinhThanh'!$B$2)+1/ISNUMBER(SEARCH(SUBSTITUTE(UPPER($Q345)," ",""),'DM_TinhThanh'!$C$2:$C$35)),1)),"Không tìm thấy"))</f>
        <v/>
      </c>
      <c r="Y345" s="5">
        <f>IF($R345="","",IFERROR(INDEX('DM_XaPhuong'!$B$2:$B$169,AGGREGATE(15,6,ROW('DM_XaPhuong'!$B$2:$B$169)-ROW('DM_XaPhuong'!$B$2)+1/ISNUMBER(SEARCH(SUBSTITUTE(UPPER($R345)," ",""),'DM_XaPhuong'!$C$2:$C$169)),1)),"Không tìm thấy"))</f>
        <v/>
      </c>
      <c r="AB345" s="5">
        <f>IF($T345="","",IFERROR(INDEX('DM_NgheNghiep'!$B$2:$B$11,AGGREGATE(15,6,ROW('DM_NgheNghiep'!$B$2:$B$11)-ROW('DM_NgheNghiep'!$B$2)+1/ISNUMBER(SEARCH(SUBSTITUTE(UPPER($T345)," ",""),'DM_NgheNghiep'!$C$2:$C$11)),1)),"Không tìm thấy"))</f>
        <v/>
      </c>
      <c r="AD345" s="5">
        <f>IF($U345="","",IFERROR(INDEX('DM_NoiCongTac'!$B$2:$B$11,AGGREGATE(15,6,ROW('DM_NoiCongTac'!$B$2:$B$11)-ROW('DM_NoiCongTac'!$B$2)+1/ISNUMBER(SEARCH(SUBSTITUTE(UPPER($U345)," ",""),'DM_NoiCongTac'!$C$2:$C$11)),1)),"Không tìm thấy"))</f>
        <v/>
      </c>
      <c r="AF345" s="5">
        <f>IF($V345="","",IFERROR(INDEX('DM_XaPhuong'!$B$2:$B$169,AGGREGATE(15,6,ROW('DM_XaPhuong'!$B$2:$B$169)-ROW('DM_XaPhuong'!$B$2)+1/ISNUMBER(SEARCH(SUBSTITUTE(UPPER($V345)," ",""),'DM_XaPhuong'!$C$2:$C$169)),1)),"Không tìm thấy"))</f>
        <v/>
      </c>
    </row>
    <row r="346">
      <c r="C346" s="5">
        <f>IF($B346="","",IFERROR(INDEX('DM_DoiTuong'!$B$2:$B$19,AGGREGATE(15,6,ROW('DM_DoiTuong'!$B$2:$B$19)-ROW('DM_DoiTuong'!$B$2)+1/ISNUMBER(SEARCH(SUBSTITUTE(UPPER($B346)," ",""),'DM_DoiTuong'!$C$2:$C$19)),1)),"Không tìm thấy"))</f>
        <v/>
      </c>
      <c r="E346" s="5">
        <f>IF($C346="","",IFERROR(INDEX('DM_DiaDiemKham'!$B$2:$B$6,AGGREGATE(15,6,ROW('DM_DiaDiemKham'!$B$2:$B$6)-ROW('DM_DiaDiemKham'!$B$2)+1/ISNUMBER(SEARCH(SUBSTITUTE(UPPER($C346)," ",""),'DM_DiaDiemKham'!$C$2:$C$6)),1)),"Không tìm thấy"))</f>
        <v/>
      </c>
      <c r="G346" s="5">
        <f>IF($D346="","",IFERROR(INDEX('DM_HinhThucChiTra'!$B$2:$B$5,AGGREGATE(15,6,ROW('DM_HinhThucChiTra'!$B$2:$B$5)-ROW('DM_HinhThucChiTra'!$B$2)+1/ISNUMBER(SEARCH(SUBSTITUTE(UPPER($D346)," ",""),'DM_HinhThucChiTra'!$C$2:$C$5)),1)),"Không tìm thấy"))</f>
        <v/>
      </c>
      <c r="I346" s="5">
        <f>IF($E346="","",IFERROR(INDEX('DM_HinhThucKham'!$B$2:$B$3,AGGREGATE(15,6,ROW('DM_HinhThucKham'!$B$2:$B$3)-ROW('DM_HinhThucKham'!$B$2)+1/ISNUMBER(SEARCH(SUBSTITUTE(UPPER($E346)," ",""),'DM_HinhThucKham'!$C$2:$C$3)),1)),"Không tìm thấy"))</f>
        <v/>
      </c>
      <c r="P346" s="5">
        <f>IF($K346="","",IFERROR(INDEX('DM_DanToc'!$B$2:$B$78,AGGREGATE(15,6,ROW('DM_DanToc'!$B$2:$B$78)-ROW('DM_DanToc'!$B$2)+1/ISNUMBER(SEARCH(SUBSTITUTE(UPPER($K346)," ",""),'DM_DanToc'!$C$2:$C$78)),1)),"Không tìm thấy"))</f>
        <v/>
      </c>
      <c r="W346" s="5">
        <f>IF($Q346="","",IFERROR(INDEX('DM_TinhThanh'!$B$2:$B$35,AGGREGATE(15,6,ROW('DM_TinhThanh'!$B$2:$B$35)-ROW('DM_TinhThanh'!$B$2)+1/ISNUMBER(SEARCH(SUBSTITUTE(UPPER($Q346)," ",""),'DM_TinhThanh'!$C$2:$C$35)),1)),"Không tìm thấy"))</f>
        <v/>
      </c>
      <c r="Y346" s="5">
        <f>IF($R346="","",IFERROR(INDEX('DM_XaPhuong'!$B$2:$B$169,AGGREGATE(15,6,ROW('DM_XaPhuong'!$B$2:$B$169)-ROW('DM_XaPhuong'!$B$2)+1/ISNUMBER(SEARCH(SUBSTITUTE(UPPER($R346)," ",""),'DM_XaPhuong'!$C$2:$C$169)),1)),"Không tìm thấy"))</f>
        <v/>
      </c>
      <c r="AB346" s="5">
        <f>IF($T346="","",IFERROR(INDEX('DM_NgheNghiep'!$B$2:$B$11,AGGREGATE(15,6,ROW('DM_NgheNghiep'!$B$2:$B$11)-ROW('DM_NgheNghiep'!$B$2)+1/ISNUMBER(SEARCH(SUBSTITUTE(UPPER($T346)," ",""),'DM_NgheNghiep'!$C$2:$C$11)),1)),"Không tìm thấy"))</f>
        <v/>
      </c>
      <c r="AD346" s="5">
        <f>IF($U346="","",IFERROR(INDEX('DM_NoiCongTac'!$B$2:$B$11,AGGREGATE(15,6,ROW('DM_NoiCongTac'!$B$2:$B$11)-ROW('DM_NoiCongTac'!$B$2)+1/ISNUMBER(SEARCH(SUBSTITUTE(UPPER($U346)," ",""),'DM_NoiCongTac'!$C$2:$C$11)),1)),"Không tìm thấy"))</f>
        <v/>
      </c>
      <c r="AF346" s="5">
        <f>IF($V346="","",IFERROR(INDEX('DM_XaPhuong'!$B$2:$B$169,AGGREGATE(15,6,ROW('DM_XaPhuong'!$B$2:$B$169)-ROW('DM_XaPhuong'!$B$2)+1/ISNUMBER(SEARCH(SUBSTITUTE(UPPER($V346)," ",""),'DM_XaPhuong'!$C$2:$C$169)),1)),"Không tìm thấy"))</f>
        <v/>
      </c>
    </row>
    <row r="347">
      <c r="C347" s="5">
        <f>IF($B347="","",IFERROR(INDEX('DM_DoiTuong'!$B$2:$B$19,AGGREGATE(15,6,ROW('DM_DoiTuong'!$B$2:$B$19)-ROW('DM_DoiTuong'!$B$2)+1/ISNUMBER(SEARCH(SUBSTITUTE(UPPER($B347)," ",""),'DM_DoiTuong'!$C$2:$C$19)),1)),"Không tìm thấy"))</f>
        <v/>
      </c>
      <c r="E347" s="5">
        <f>IF($C347="","",IFERROR(INDEX('DM_DiaDiemKham'!$B$2:$B$6,AGGREGATE(15,6,ROW('DM_DiaDiemKham'!$B$2:$B$6)-ROW('DM_DiaDiemKham'!$B$2)+1/ISNUMBER(SEARCH(SUBSTITUTE(UPPER($C347)," ",""),'DM_DiaDiemKham'!$C$2:$C$6)),1)),"Không tìm thấy"))</f>
        <v/>
      </c>
      <c r="G347" s="5">
        <f>IF($D347="","",IFERROR(INDEX('DM_HinhThucChiTra'!$B$2:$B$5,AGGREGATE(15,6,ROW('DM_HinhThucChiTra'!$B$2:$B$5)-ROW('DM_HinhThucChiTra'!$B$2)+1/ISNUMBER(SEARCH(SUBSTITUTE(UPPER($D347)," ",""),'DM_HinhThucChiTra'!$C$2:$C$5)),1)),"Không tìm thấy"))</f>
        <v/>
      </c>
      <c r="I347" s="5">
        <f>IF($E347="","",IFERROR(INDEX('DM_HinhThucKham'!$B$2:$B$3,AGGREGATE(15,6,ROW('DM_HinhThucKham'!$B$2:$B$3)-ROW('DM_HinhThucKham'!$B$2)+1/ISNUMBER(SEARCH(SUBSTITUTE(UPPER($E347)," ",""),'DM_HinhThucKham'!$C$2:$C$3)),1)),"Không tìm thấy"))</f>
        <v/>
      </c>
      <c r="P347" s="5">
        <f>IF($K347="","",IFERROR(INDEX('DM_DanToc'!$B$2:$B$78,AGGREGATE(15,6,ROW('DM_DanToc'!$B$2:$B$78)-ROW('DM_DanToc'!$B$2)+1/ISNUMBER(SEARCH(SUBSTITUTE(UPPER($K347)," ",""),'DM_DanToc'!$C$2:$C$78)),1)),"Không tìm thấy"))</f>
        <v/>
      </c>
      <c r="W347" s="5">
        <f>IF($Q347="","",IFERROR(INDEX('DM_TinhThanh'!$B$2:$B$35,AGGREGATE(15,6,ROW('DM_TinhThanh'!$B$2:$B$35)-ROW('DM_TinhThanh'!$B$2)+1/ISNUMBER(SEARCH(SUBSTITUTE(UPPER($Q347)," ",""),'DM_TinhThanh'!$C$2:$C$35)),1)),"Không tìm thấy"))</f>
        <v/>
      </c>
      <c r="Y347" s="5">
        <f>IF($R347="","",IFERROR(INDEX('DM_XaPhuong'!$B$2:$B$169,AGGREGATE(15,6,ROW('DM_XaPhuong'!$B$2:$B$169)-ROW('DM_XaPhuong'!$B$2)+1/ISNUMBER(SEARCH(SUBSTITUTE(UPPER($R347)," ",""),'DM_XaPhuong'!$C$2:$C$169)),1)),"Không tìm thấy"))</f>
        <v/>
      </c>
      <c r="AB347" s="5">
        <f>IF($T347="","",IFERROR(INDEX('DM_NgheNghiep'!$B$2:$B$11,AGGREGATE(15,6,ROW('DM_NgheNghiep'!$B$2:$B$11)-ROW('DM_NgheNghiep'!$B$2)+1/ISNUMBER(SEARCH(SUBSTITUTE(UPPER($T347)," ",""),'DM_NgheNghiep'!$C$2:$C$11)),1)),"Không tìm thấy"))</f>
        <v/>
      </c>
      <c r="AD347" s="5">
        <f>IF($U347="","",IFERROR(INDEX('DM_NoiCongTac'!$B$2:$B$11,AGGREGATE(15,6,ROW('DM_NoiCongTac'!$B$2:$B$11)-ROW('DM_NoiCongTac'!$B$2)+1/ISNUMBER(SEARCH(SUBSTITUTE(UPPER($U347)," ",""),'DM_NoiCongTac'!$C$2:$C$11)),1)),"Không tìm thấy"))</f>
        <v/>
      </c>
      <c r="AF347" s="5">
        <f>IF($V347="","",IFERROR(INDEX('DM_XaPhuong'!$B$2:$B$169,AGGREGATE(15,6,ROW('DM_XaPhuong'!$B$2:$B$169)-ROW('DM_XaPhuong'!$B$2)+1/ISNUMBER(SEARCH(SUBSTITUTE(UPPER($V347)," ",""),'DM_XaPhuong'!$C$2:$C$169)),1)),"Không tìm thấy"))</f>
        <v/>
      </c>
    </row>
    <row r="348">
      <c r="C348" s="5">
        <f>IF($B348="","",IFERROR(INDEX('DM_DoiTuong'!$B$2:$B$19,AGGREGATE(15,6,ROW('DM_DoiTuong'!$B$2:$B$19)-ROW('DM_DoiTuong'!$B$2)+1/ISNUMBER(SEARCH(SUBSTITUTE(UPPER($B348)," ",""),'DM_DoiTuong'!$C$2:$C$19)),1)),"Không tìm thấy"))</f>
        <v/>
      </c>
      <c r="E348" s="5">
        <f>IF($C348="","",IFERROR(INDEX('DM_DiaDiemKham'!$B$2:$B$6,AGGREGATE(15,6,ROW('DM_DiaDiemKham'!$B$2:$B$6)-ROW('DM_DiaDiemKham'!$B$2)+1/ISNUMBER(SEARCH(SUBSTITUTE(UPPER($C348)," ",""),'DM_DiaDiemKham'!$C$2:$C$6)),1)),"Không tìm thấy"))</f>
        <v/>
      </c>
      <c r="G348" s="5">
        <f>IF($D348="","",IFERROR(INDEX('DM_HinhThucChiTra'!$B$2:$B$5,AGGREGATE(15,6,ROW('DM_HinhThucChiTra'!$B$2:$B$5)-ROW('DM_HinhThucChiTra'!$B$2)+1/ISNUMBER(SEARCH(SUBSTITUTE(UPPER($D348)," ",""),'DM_HinhThucChiTra'!$C$2:$C$5)),1)),"Không tìm thấy"))</f>
        <v/>
      </c>
      <c r="I348" s="5">
        <f>IF($E348="","",IFERROR(INDEX('DM_HinhThucKham'!$B$2:$B$3,AGGREGATE(15,6,ROW('DM_HinhThucKham'!$B$2:$B$3)-ROW('DM_HinhThucKham'!$B$2)+1/ISNUMBER(SEARCH(SUBSTITUTE(UPPER($E348)," ",""),'DM_HinhThucKham'!$C$2:$C$3)),1)),"Không tìm thấy"))</f>
        <v/>
      </c>
      <c r="P348" s="5">
        <f>IF($K348="","",IFERROR(INDEX('DM_DanToc'!$B$2:$B$78,AGGREGATE(15,6,ROW('DM_DanToc'!$B$2:$B$78)-ROW('DM_DanToc'!$B$2)+1/ISNUMBER(SEARCH(SUBSTITUTE(UPPER($K348)," ",""),'DM_DanToc'!$C$2:$C$78)),1)),"Không tìm thấy"))</f>
        <v/>
      </c>
      <c r="W348" s="5">
        <f>IF($Q348="","",IFERROR(INDEX('DM_TinhThanh'!$B$2:$B$35,AGGREGATE(15,6,ROW('DM_TinhThanh'!$B$2:$B$35)-ROW('DM_TinhThanh'!$B$2)+1/ISNUMBER(SEARCH(SUBSTITUTE(UPPER($Q348)," ",""),'DM_TinhThanh'!$C$2:$C$35)),1)),"Không tìm thấy"))</f>
        <v/>
      </c>
      <c r="Y348" s="5">
        <f>IF($R348="","",IFERROR(INDEX('DM_XaPhuong'!$B$2:$B$169,AGGREGATE(15,6,ROW('DM_XaPhuong'!$B$2:$B$169)-ROW('DM_XaPhuong'!$B$2)+1/ISNUMBER(SEARCH(SUBSTITUTE(UPPER($R348)," ",""),'DM_XaPhuong'!$C$2:$C$169)),1)),"Không tìm thấy"))</f>
        <v/>
      </c>
      <c r="AB348" s="5">
        <f>IF($T348="","",IFERROR(INDEX('DM_NgheNghiep'!$B$2:$B$11,AGGREGATE(15,6,ROW('DM_NgheNghiep'!$B$2:$B$11)-ROW('DM_NgheNghiep'!$B$2)+1/ISNUMBER(SEARCH(SUBSTITUTE(UPPER($T348)," ",""),'DM_NgheNghiep'!$C$2:$C$11)),1)),"Không tìm thấy"))</f>
        <v/>
      </c>
      <c r="AD348" s="5">
        <f>IF($U348="","",IFERROR(INDEX('DM_NoiCongTac'!$B$2:$B$11,AGGREGATE(15,6,ROW('DM_NoiCongTac'!$B$2:$B$11)-ROW('DM_NoiCongTac'!$B$2)+1/ISNUMBER(SEARCH(SUBSTITUTE(UPPER($U348)," ",""),'DM_NoiCongTac'!$C$2:$C$11)),1)),"Không tìm thấy"))</f>
        <v/>
      </c>
      <c r="AF348" s="5">
        <f>IF($V348="","",IFERROR(INDEX('DM_XaPhuong'!$B$2:$B$169,AGGREGATE(15,6,ROW('DM_XaPhuong'!$B$2:$B$169)-ROW('DM_XaPhuong'!$B$2)+1/ISNUMBER(SEARCH(SUBSTITUTE(UPPER($V348)," ",""),'DM_XaPhuong'!$C$2:$C$169)),1)),"Không tìm thấy"))</f>
        <v/>
      </c>
    </row>
    <row r="349">
      <c r="C349" s="5">
        <f>IF($B349="","",IFERROR(INDEX('DM_DoiTuong'!$B$2:$B$19,AGGREGATE(15,6,ROW('DM_DoiTuong'!$B$2:$B$19)-ROW('DM_DoiTuong'!$B$2)+1/ISNUMBER(SEARCH(SUBSTITUTE(UPPER($B349)," ",""),'DM_DoiTuong'!$C$2:$C$19)),1)),"Không tìm thấy"))</f>
        <v/>
      </c>
      <c r="E349" s="5">
        <f>IF($C349="","",IFERROR(INDEX('DM_DiaDiemKham'!$B$2:$B$6,AGGREGATE(15,6,ROW('DM_DiaDiemKham'!$B$2:$B$6)-ROW('DM_DiaDiemKham'!$B$2)+1/ISNUMBER(SEARCH(SUBSTITUTE(UPPER($C349)," ",""),'DM_DiaDiemKham'!$C$2:$C$6)),1)),"Không tìm thấy"))</f>
        <v/>
      </c>
      <c r="G349" s="5">
        <f>IF($D349="","",IFERROR(INDEX('DM_HinhThucChiTra'!$B$2:$B$5,AGGREGATE(15,6,ROW('DM_HinhThucChiTra'!$B$2:$B$5)-ROW('DM_HinhThucChiTra'!$B$2)+1/ISNUMBER(SEARCH(SUBSTITUTE(UPPER($D349)," ",""),'DM_HinhThucChiTra'!$C$2:$C$5)),1)),"Không tìm thấy"))</f>
        <v/>
      </c>
      <c r="I349" s="5">
        <f>IF($E349="","",IFERROR(INDEX('DM_HinhThucKham'!$B$2:$B$3,AGGREGATE(15,6,ROW('DM_HinhThucKham'!$B$2:$B$3)-ROW('DM_HinhThucKham'!$B$2)+1/ISNUMBER(SEARCH(SUBSTITUTE(UPPER($E349)," ",""),'DM_HinhThucKham'!$C$2:$C$3)),1)),"Không tìm thấy"))</f>
        <v/>
      </c>
      <c r="P349" s="5">
        <f>IF($K349="","",IFERROR(INDEX('DM_DanToc'!$B$2:$B$78,AGGREGATE(15,6,ROW('DM_DanToc'!$B$2:$B$78)-ROW('DM_DanToc'!$B$2)+1/ISNUMBER(SEARCH(SUBSTITUTE(UPPER($K349)," ",""),'DM_DanToc'!$C$2:$C$78)),1)),"Không tìm thấy"))</f>
        <v/>
      </c>
      <c r="W349" s="5">
        <f>IF($Q349="","",IFERROR(INDEX('DM_TinhThanh'!$B$2:$B$35,AGGREGATE(15,6,ROW('DM_TinhThanh'!$B$2:$B$35)-ROW('DM_TinhThanh'!$B$2)+1/ISNUMBER(SEARCH(SUBSTITUTE(UPPER($Q349)," ",""),'DM_TinhThanh'!$C$2:$C$35)),1)),"Không tìm thấy"))</f>
        <v/>
      </c>
      <c r="Y349" s="5">
        <f>IF($R349="","",IFERROR(INDEX('DM_XaPhuong'!$B$2:$B$169,AGGREGATE(15,6,ROW('DM_XaPhuong'!$B$2:$B$169)-ROW('DM_XaPhuong'!$B$2)+1/ISNUMBER(SEARCH(SUBSTITUTE(UPPER($R349)," ",""),'DM_XaPhuong'!$C$2:$C$169)),1)),"Không tìm thấy"))</f>
        <v/>
      </c>
      <c r="AB349" s="5">
        <f>IF($T349="","",IFERROR(INDEX('DM_NgheNghiep'!$B$2:$B$11,AGGREGATE(15,6,ROW('DM_NgheNghiep'!$B$2:$B$11)-ROW('DM_NgheNghiep'!$B$2)+1/ISNUMBER(SEARCH(SUBSTITUTE(UPPER($T349)," ",""),'DM_NgheNghiep'!$C$2:$C$11)),1)),"Không tìm thấy"))</f>
        <v/>
      </c>
      <c r="AD349" s="5">
        <f>IF($U349="","",IFERROR(INDEX('DM_NoiCongTac'!$B$2:$B$11,AGGREGATE(15,6,ROW('DM_NoiCongTac'!$B$2:$B$11)-ROW('DM_NoiCongTac'!$B$2)+1/ISNUMBER(SEARCH(SUBSTITUTE(UPPER($U349)," ",""),'DM_NoiCongTac'!$C$2:$C$11)),1)),"Không tìm thấy"))</f>
        <v/>
      </c>
      <c r="AF349" s="5">
        <f>IF($V349="","",IFERROR(INDEX('DM_XaPhuong'!$B$2:$B$169,AGGREGATE(15,6,ROW('DM_XaPhuong'!$B$2:$B$169)-ROW('DM_XaPhuong'!$B$2)+1/ISNUMBER(SEARCH(SUBSTITUTE(UPPER($V349)," ",""),'DM_XaPhuong'!$C$2:$C$169)),1)),"Không tìm thấy"))</f>
        <v/>
      </c>
    </row>
    <row r="350">
      <c r="C350" s="5">
        <f>IF($B350="","",IFERROR(INDEX('DM_DoiTuong'!$B$2:$B$19,AGGREGATE(15,6,ROW('DM_DoiTuong'!$B$2:$B$19)-ROW('DM_DoiTuong'!$B$2)+1/ISNUMBER(SEARCH(SUBSTITUTE(UPPER($B350)," ",""),'DM_DoiTuong'!$C$2:$C$19)),1)),"Không tìm thấy"))</f>
        <v/>
      </c>
      <c r="E350" s="5">
        <f>IF($C350="","",IFERROR(INDEX('DM_DiaDiemKham'!$B$2:$B$6,AGGREGATE(15,6,ROW('DM_DiaDiemKham'!$B$2:$B$6)-ROW('DM_DiaDiemKham'!$B$2)+1/ISNUMBER(SEARCH(SUBSTITUTE(UPPER($C350)," ",""),'DM_DiaDiemKham'!$C$2:$C$6)),1)),"Không tìm thấy"))</f>
        <v/>
      </c>
      <c r="G350" s="5">
        <f>IF($D350="","",IFERROR(INDEX('DM_HinhThucChiTra'!$B$2:$B$5,AGGREGATE(15,6,ROW('DM_HinhThucChiTra'!$B$2:$B$5)-ROW('DM_HinhThucChiTra'!$B$2)+1/ISNUMBER(SEARCH(SUBSTITUTE(UPPER($D350)," ",""),'DM_HinhThucChiTra'!$C$2:$C$5)),1)),"Không tìm thấy"))</f>
        <v/>
      </c>
      <c r="I350" s="5">
        <f>IF($E350="","",IFERROR(INDEX('DM_HinhThucKham'!$B$2:$B$3,AGGREGATE(15,6,ROW('DM_HinhThucKham'!$B$2:$B$3)-ROW('DM_HinhThucKham'!$B$2)+1/ISNUMBER(SEARCH(SUBSTITUTE(UPPER($E350)," ",""),'DM_HinhThucKham'!$C$2:$C$3)),1)),"Không tìm thấy"))</f>
        <v/>
      </c>
      <c r="P350" s="5">
        <f>IF($K350="","",IFERROR(INDEX('DM_DanToc'!$B$2:$B$78,AGGREGATE(15,6,ROW('DM_DanToc'!$B$2:$B$78)-ROW('DM_DanToc'!$B$2)+1/ISNUMBER(SEARCH(SUBSTITUTE(UPPER($K350)," ",""),'DM_DanToc'!$C$2:$C$78)),1)),"Không tìm thấy"))</f>
        <v/>
      </c>
      <c r="W350" s="5">
        <f>IF($Q350="","",IFERROR(INDEX('DM_TinhThanh'!$B$2:$B$35,AGGREGATE(15,6,ROW('DM_TinhThanh'!$B$2:$B$35)-ROW('DM_TinhThanh'!$B$2)+1/ISNUMBER(SEARCH(SUBSTITUTE(UPPER($Q350)," ",""),'DM_TinhThanh'!$C$2:$C$35)),1)),"Không tìm thấy"))</f>
        <v/>
      </c>
      <c r="Y350" s="5">
        <f>IF($R350="","",IFERROR(INDEX('DM_XaPhuong'!$B$2:$B$169,AGGREGATE(15,6,ROW('DM_XaPhuong'!$B$2:$B$169)-ROW('DM_XaPhuong'!$B$2)+1/ISNUMBER(SEARCH(SUBSTITUTE(UPPER($R350)," ",""),'DM_XaPhuong'!$C$2:$C$169)),1)),"Không tìm thấy"))</f>
        <v/>
      </c>
      <c r="AB350" s="5">
        <f>IF($T350="","",IFERROR(INDEX('DM_NgheNghiep'!$B$2:$B$11,AGGREGATE(15,6,ROW('DM_NgheNghiep'!$B$2:$B$11)-ROW('DM_NgheNghiep'!$B$2)+1/ISNUMBER(SEARCH(SUBSTITUTE(UPPER($T350)," ",""),'DM_NgheNghiep'!$C$2:$C$11)),1)),"Không tìm thấy"))</f>
        <v/>
      </c>
      <c r="AD350" s="5">
        <f>IF($U350="","",IFERROR(INDEX('DM_NoiCongTac'!$B$2:$B$11,AGGREGATE(15,6,ROW('DM_NoiCongTac'!$B$2:$B$11)-ROW('DM_NoiCongTac'!$B$2)+1/ISNUMBER(SEARCH(SUBSTITUTE(UPPER($U350)," ",""),'DM_NoiCongTac'!$C$2:$C$11)),1)),"Không tìm thấy"))</f>
        <v/>
      </c>
      <c r="AF350" s="5">
        <f>IF($V350="","",IFERROR(INDEX('DM_XaPhuong'!$B$2:$B$169,AGGREGATE(15,6,ROW('DM_XaPhuong'!$B$2:$B$169)-ROW('DM_XaPhuong'!$B$2)+1/ISNUMBER(SEARCH(SUBSTITUTE(UPPER($V350)," ",""),'DM_XaPhuong'!$C$2:$C$169)),1)),"Không tìm thấy"))</f>
        <v/>
      </c>
    </row>
    <row r="351">
      <c r="C351" s="5">
        <f>IF($B351="","",IFERROR(INDEX('DM_DoiTuong'!$B$2:$B$19,AGGREGATE(15,6,ROW('DM_DoiTuong'!$B$2:$B$19)-ROW('DM_DoiTuong'!$B$2)+1/ISNUMBER(SEARCH(SUBSTITUTE(UPPER($B351)," ",""),'DM_DoiTuong'!$C$2:$C$19)),1)),"Không tìm thấy"))</f>
        <v/>
      </c>
      <c r="E351" s="5">
        <f>IF($C351="","",IFERROR(INDEX('DM_DiaDiemKham'!$B$2:$B$6,AGGREGATE(15,6,ROW('DM_DiaDiemKham'!$B$2:$B$6)-ROW('DM_DiaDiemKham'!$B$2)+1/ISNUMBER(SEARCH(SUBSTITUTE(UPPER($C351)," ",""),'DM_DiaDiemKham'!$C$2:$C$6)),1)),"Không tìm thấy"))</f>
        <v/>
      </c>
      <c r="G351" s="5">
        <f>IF($D351="","",IFERROR(INDEX('DM_HinhThucChiTra'!$B$2:$B$5,AGGREGATE(15,6,ROW('DM_HinhThucChiTra'!$B$2:$B$5)-ROW('DM_HinhThucChiTra'!$B$2)+1/ISNUMBER(SEARCH(SUBSTITUTE(UPPER($D351)," ",""),'DM_HinhThucChiTra'!$C$2:$C$5)),1)),"Không tìm thấy"))</f>
        <v/>
      </c>
      <c r="I351" s="5">
        <f>IF($E351="","",IFERROR(INDEX('DM_HinhThucKham'!$B$2:$B$3,AGGREGATE(15,6,ROW('DM_HinhThucKham'!$B$2:$B$3)-ROW('DM_HinhThucKham'!$B$2)+1/ISNUMBER(SEARCH(SUBSTITUTE(UPPER($E351)," ",""),'DM_HinhThucKham'!$C$2:$C$3)),1)),"Không tìm thấy"))</f>
        <v/>
      </c>
      <c r="P351" s="5">
        <f>IF($K351="","",IFERROR(INDEX('DM_DanToc'!$B$2:$B$78,AGGREGATE(15,6,ROW('DM_DanToc'!$B$2:$B$78)-ROW('DM_DanToc'!$B$2)+1/ISNUMBER(SEARCH(SUBSTITUTE(UPPER($K351)," ",""),'DM_DanToc'!$C$2:$C$78)),1)),"Không tìm thấy"))</f>
        <v/>
      </c>
      <c r="W351" s="5">
        <f>IF($Q351="","",IFERROR(INDEX('DM_TinhThanh'!$B$2:$B$35,AGGREGATE(15,6,ROW('DM_TinhThanh'!$B$2:$B$35)-ROW('DM_TinhThanh'!$B$2)+1/ISNUMBER(SEARCH(SUBSTITUTE(UPPER($Q351)," ",""),'DM_TinhThanh'!$C$2:$C$35)),1)),"Không tìm thấy"))</f>
        <v/>
      </c>
      <c r="Y351" s="5">
        <f>IF($R351="","",IFERROR(INDEX('DM_XaPhuong'!$B$2:$B$169,AGGREGATE(15,6,ROW('DM_XaPhuong'!$B$2:$B$169)-ROW('DM_XaPhuong'!$B$2)+1/ISNUMBER(SEARCH(SUBSTITUTE(UPPER($R351)," ",""),'DM_XaPhuong'!$C$2:$C$169)),1)),"Không tìm thấy"))</f>
        <v/>
      </c>
      <c r="AB351" s="5">
        <f>IF($T351="","",IFERROR(INDEX('DM_NgheNghiep'!$B$2:$B$11,AGGREGATE(15,6,ROW('DM_NgheNghiep'!$B$2:$B$11)-ROW('DM_NgheNghiep'!$B$2)+1/ISNUMBER(SEARCH(SUBSTITUTE(UPPER($T351)," ",""),'DM_NgheNghiep'!$C$2:$C$11)),1)),"Không tìm thấy"))</f>
        <v/>
      </c>
      <c r="AD351" s="5">
        <f>IF($U351="","",IFERROR(INDEX('DM_NoiCongTac'!$B$2:$B$11,AGGREGATE(15,6,ROW('DM_NoiCongTac'!$B$2:$B$11)-ROW('DM_NoiCongTac'!$B$2)+1/ISNUMBER(SEARCH(SUBSTITUTE(UPPER($U351)," ",""),'DM_NoiCongTac'!$C$2:$C$11)),1)),"Không tìm thấy"))</f>
        <v/>
      </c>
      <c r="AF351" s="5">
        <f>IF($V351="","",IFERROR(INDEX('DM_XaPhuong'!$B$2:$B$169,AGGREGATE(15,6,ROW('DM_XaPhuong'!$B$2:$B$169)-ROW('DM_XaPhuong'!$B$2)+1/ISNUMBER(SEARCH(SUBSTITUTE(UPPER($V351)," ",""),'DM_XaPhuong'!$C$2:$C$169)),1)),"Không tìm thấy"))</f>
        <v/>
      </c>
    </row>
    <row r="352">
      <c r="C352" s="5">
        <f>IF($B352="","",IFERROR(INDEX('DM_DoiTuong'!$B$2:$B$19,AGGREGATE(15,6,ROW('DM_DoiTuong'!$B$2:$B$19)-ROW('DM_DoiTuong'!$B$2)+1/ISNUMBER(SEARCH(SUBSTITUTE(UPPER($B352)," ",""),'DM_DoiTuong'!$C$2:$C$19)),1)),"Không tìm thấy"))</f>
        <v/>
      </c>
      <c r="E352" s="5">
        <f>IF($C352="","",IFERROR(INDEX('DM_DiaDiemKham'!$B$2:$B$6,AGGREGATE(15,6,ROW('DM_DiaDiemKham'!$B$2:$B$6)-ROW('DM_DiaDiemKham'!$B$2)+1/ISNUMBER(SEARCH(SUBSTITUTE(UPPER($C352)," ",""),'DM_DiaDiemKham'!$C$2:$C$6)),1)),"Không tìm thấy"))</f>
        <v/>
      </c>
      <c r="G352" s="5">
        <f>IF($D352="","",IFERROR(INDEX('DM_HinhThucChiTra'!$B$2:$B$5,AGGREGATE(15,6,ROW('DM_HinhThucChiTra'!$B$2:$B$5)-ROW('DM_HinhThucChiTra'!$B$2)+1/ISNUMBER(SEARCH(SUBSTITUTE(UPPER($D352)," ",""),'DM_HinhThucChiTra'!$C$2:$C$5)),1)),"Không tìm thấy"))</f>
        <v/>
      </c>
      <c r="I352" s="5">
        <f>IF($E352="","",IFERROR(INDEX('DM_HinhThucKham'!$B$2:$B$3,AGGREGATE(15,6,ROW('DM_HinhThucKham'!$B$2:$B$3)-ROW('DM_HinhThucKham'!$B$2)+1/ISNUMBER(SEARCH(SUBSTITUTE(UPPER($E352)," ",""),'DM_HinhThucKham'!$C$2:$C$3)),1)),"Không tìm thấy"))</f>
        <v/>
      </c>
      <c r="P352" s="5">
        <f>IF($K352="","",IFERROR(INDEX('DM_DanToc'!$B$2:$B$78,AGGREGATE(15,6,ROW('DM_DanToc'!$B$2:$B$78)-ROW('DM_DanToc'!$B$2)+1/ISNUMBER(SEARCH(SUBSTITUTE(UPPER($K352)," ",""),'DM_DanToc'!$C$2:$C$78)),1)),"Không tìm thấy"))</f>
        <v/>
      </c>
      <c r="W352" s="5">
        <f>IF($Q352="","",IFERROR(INDEX('DM_TinhThanh'!$B$2:$B$35,AGGREGATE(15,6,ROW('DM_TinhThanh'!$B$2:$B$35)-ROW('DM_TinhThanh'!$B$2)+1/ISNUMBER(SEARCH(SUBSTITUTE(UPPER($Q352)," ",""),'DM_TinhThanh'!$C$2:$C$35)),1)),"Không tìm thấy"))</f>
        <v/>
      </c>
      <c r="Y352" s="5">
        <f>IF($R352="","",IFERROR(INDEX('DM_XaPhuong'!$B$2:$B$169,AGGREGATE(15,6,ROW('DM_XaPhuong'!$B$2:$B$169)-ROW('DM_XaPhuong'!$B$2)+1/ISNUMBER(SEARCH(SUBSTITUTE(UPPER($R352)," ",""),'DM_XaPhuong'!$C$2:$C$169)),1)),"Không tìm thấy"))</f>
        <v/>
      </c>
      <c r="AB352" s="5">
        <f>IF($T352="","",IFERROR(INDEX('DM_NgheNghiep'!$B$2:$B$11,AGGREGATE(15,6,ROW('DM_NgheNghiep'!$B$2:$B$11)-ROW('DM_NgheNghiep'!$B$2)+1/ISNUMBER(SEARCH(SUBSTITUTE(UPPER($T352)," ",""),'DM_NgheNghiep'!$C$2:$C$11)),1)),"Không tìm thấy"))</f>
        <v/>
      </c>
      <c r="AD352" s="5">
        <f>IF($U352="","",IFERROR(INDEX('DM_NoiCongTac'!$B$2:$B$11,AGGREGATE(15,6,ROW('DM_NoiCongTac'!$B$2:$B$11)-ROW('DM_NoiCongTac'!$B$2)+1/ISNUMBER(SEARCH(SUBSTITUTE(UPPER($U352)," ",""),'DM_NoiCongTac'!$C$2:$C$11)),1)),"Không tìm thấy"))</f>
        <v/>
      </c>
      <c r="AF352" s="5">
        <f>IF($V352="","",IFERROR(INDEX('DM_XaPhuong'!$B$2:$B$169,AGGREGATE(15,6,ROW('DM_XaPhuong'!$B$2:$B$169)-ROW('DM_XaPhuong'!$B$2)+1/ISNUMBER(SEARCH(SUBSTITUTE(UPPER($V352)," ",""),'DM_XaPhuong'!$C$2:$C$169)),1)),"Không tìm thấy"))</f>
        <v/>
      </c>
    </row>
    <row r="353">
      <c r="C353" s="5">
        <f>IF($B353="","",IFERROR(INDEX('DM_DoiTuong'!$B$2:$B$19,AGGREGATE(15,6,ROW('DM_DoiTuong'!$B$2:$B$19)-ROW('DM_DoiTuong'!$B$2)+1/ISNUMBER(SEARCH(SUBSTITUTE(UPPER($B353)," ",""),'DM_DoiTuong'!$C$2:$C$19)),1)),"Không tìm thấy"))</f>
        <v/>
      </c>
      <c r="E353" s="5">
        <f>IF($C353="","",IFERROR(INDEX('DM_DiaDiemKham'!$B$2:$B$6,AGGREGATE(15,6,ROW('DM_DiaDiemKham'!$B$2:$B$6)-ROW('DM_DiaDiemKham'!$B$2)+1/ISNUMBER(SEARCH(SUBSTITUTE(UPPER($C353)," ",""),'DM_DiaDiemKham'!$C$2:$C$6)),1)),"Không tìm thấy"))</f>
        <v/>
      </c>
      <c r="G353" s="5">
        <f>IF($D353="","",IFERROR(INDEX('DM_HinhThucChiTra'!$B$2:$B$5,AGGREGATE(15,6,ROW('DM_HinhThucChiTra'!$B$2:$B$5)-ROW('DM_HinhThucChiTra'!$B$2)+1/ISNUMBER(SEARCH(SUBSTITUTE(UPPER($D353)," ",""),'DM_HinhThucChiTra'!$C$2:$C$5)),1)),"Không tìm thấy"))</f>
        <v/>
      </c>
      <c r="I353" s="5">
        <f>IF($E353="","",IFERROR(INDEX('DM_HinhThucKham'!$B$2:$B$3,AGGREGATE(15,6,ROW('DM_HinhThucKham'!$B$2:$B$3)-ROW('DM_HinhThucKham'!$B$2)+1/ISNUMBER(SEARCH(SUBSTITUTE(UPPER($E353)," ",""),'DM_HinhThucKham'!$C$2:$C$3)),1)),"Không tìm thấy"))</f>
        <v/>
      </c>
      <c r="P353" s="5">
        <f>IF($K353="","",IFERROR(INDEX('DM_DanToc'!$B$2:$B$78,AGGREGATE(15,6,ROW('DM_DanToc'!$B$2:$B$78)-ROW('DM_DanToc'!$B$2)+1/ISNUMBER(SEARCH(SUBSTITUTE(UPPER($K353)," ",""),'DM_DanToc'!$C$2:$C$78)),1)),"Không tìm thấy"))</f>
        <v/>
      </c>
      <c r="W353" s="5">
        <f>IF($Q353="","",IFERROR(INDEX('DM_TinhThanh'!$B$2:$B$35,AGGREGATE(15,6,ROW('DM_TinhThanh'!$B$2:$B$35)-ROW('DM_TinhThanh'!$B$2)+1/ISNUMBER(SEARCH(SUBSTITUTE(UPPER($Q353)," ",""),'DM_TinhThanh'!$C$2:$C$35)),1)),"Không tìm thấy"))</f>
        <v/>
      </c>
      <c r="Y353" s="5">
        <f>IF($R353="","",IFERROR(INDEX('DM_XaPhuong'!$B$2:$B$169,AGGREGATE(15,6,ROW('DM_XaPhuong'!$B$2:$B$169)-ROW('DM_XaPhuong'!$B$2)+1/ISNUMBER(SEARCH(SUBSTITUTE(UPPER($R353)," ",""),'DM_XaPhuong'!$C$2:$C$169)),1)),"Không tìm thấy"))</f>
        <v/>
      </c>
      <c r="AB353" s="5">
        <f>IF($T353="","",IFERROR(INDEX('DM_NgheNghiep'!$B$2:$B$11,AGGREGATE(15,6,ROW('DM_NgheNghiep'!$B$2:$B$11)-ROW('DM_NgheNghiep'!$B$2)+1/ISNUMBER(SEARCH(SUBSTITUTE(UPPER($T353)," ",""),'DM_NgheNghiep'!$C$2:$C$11)),1)),"Không tìm thấy"))</f>
        <v/>
      </c>
      <c r="AD353" s="5">
        <f>IF($U353="","",IFERROR(INDEX('DM_NoiCongTac'!$B$2:$B$11,AGGREGATE(15,6,ROW('DM_NoiCongTac'!$B$2:$B$11)-ROW('DM_NoiCongTac'!$B$2)+1/ISNUMBER(SEARCH(SUBSTITUTE(UPPER($U353)," ",""),'DM_NoiCongTac'!$C$2:$C$11)),1)),"Không tìm thấy"))</f>
        <v/>
      </c>
      <c r="AF353" s="5">
        <f>IF($V353="","",IFERROR(INDEX('DM_XaPhuong'!$B$2:$B$169,AGGREGATE(15,6,ROW('DM_XaPhuong'!$B$2:$B$169)-ROW('DM_XaPhuong'!$B$2)+1/ISNUMBER(SEARCH(SUBSTITUTE(UPPER($V353)," ",""),'DM_XaPhuong'!$C$2:$C$169)),1)),"Không tìm thấy"))</f>
        <v/>
      </c>
    </row>
    <row r="354">
      <c r="C354" s="5">
        <f>IF($B354="","",IFERROR(INDEX('DM_DoiTuong'!$B$2:$B$19,AGGREGATE(15,6,ROW('DM_DoiTuong'!$B$2:$B$19)-ROW('DM_DoiTuong'!$B$2)+1/ISNUMBER(SEARCH(SUBSTITUTE(UPPER($B354)," ",""),'DM_DoiTuong'!$C$2:$C$19)),1)),"Không tìm thấy"))</f>
        <v/>
      </c>
      <c r="E354" s="5">
        <f>IF($C354="","",IFERROR(INDEX('DM_DiaDiemKham'!$B$2:$B$6,AGGREGATE(15,6,ROW('DM_DiaDiemKham'!$B$2:$B$6)-ROW('DM_DiaDiemKham'!$B$2)+1/ISNUMBER(SEARCH(SUBSTITUTE(UPPER($C354)," ",""),'DM_DiaDiemKham'!$C$2:$C$6)),1)),"Không tìm thấy"))</f>
        <v/>
      </c>
      <c r="G354" s="5">
        <f>IF($D354="","",IFERROR(INDEX('DM_HinhThucChiTra'!$B$2:$B$5,AGGREGATE(15,6,ROW('DM_HinhThucChiTra'!$B$2:$B$5)-ROW('DM_HinhThucChiTra'!$B$2)+1/ISNUMBER(SEARCH(SUBSTITUTE(UPPER($D354)," ",""),'DM_HinhThucChiTra'!$C$2:$C$5)),1)),"Không tìm thấy"))</f>
        <v/>
      </c>
      <c r="I354" s="5">
        <f>IF($E354="","",IFERROR(INDEX('DM_HinhThucKham'!$B$2:$B$3,AGGREGATE(15,6,ROW('DM_HinhThucKham'!$B$2:$B$3)-ROW('DM_HinhThucKham'!$B$2)+1/ISNUMBER(SEARCH(SUBSTITUTE(UPPER($E354)," ",""),'DM_HinhThucKham'!$C$2:$C$3)),1)),"Không tìm thấy"))</f>
        <v/>
      </c>
      <c r="P354" s="5">
        <f>IF($K354="","",IFERROR(INDEX('DM_DanToc'!$B$2:$B$78,AGGREGATE(15,6,ROW('DM_DanToc'!$B$2:$B$78)-ROW('DM_DanToc'!$B$2)+1/ISNUMBER(SEARCH(SUBSTITUTE(UPPER($K354)," ",""),'DM_DanToc'!$C$2:$C$78)),1)),"Không tìm thấy"))</f>
        <v/>
      </c>
      <c r="W354" s="5">
        <f>IF($Q354="","",IFERROR(INDEX('DM_TinhThanh'!$B$2:$B$35,AGGREGATE(15,6,ROW('DM_TinhThanh'!$B$2:$B$35)-ROW('DM_TinhThanh'!$B$2)+1/ISNUMBER(SEARCH(SUBSTITUTE(UPPER($Q354)," ",""),'DM_TinhThanh'!$C$2:$C$35)),1)),"Không tìm thấy"))</f>
        <v/>
      </c>
      <c r="Y354" s="5">
        <f>IF($R354="","",IFERROR(INDEX('DM_XaPhuong'!$B$2:$B$169,AGGREGATE(15,6,ROW('DM_XaPhuong'!$B$2:$B$169)-ROW('DM_XaPhuong'!$B$2)+1/ISNUMBER(SEARCH(SUBSTITUTE(UPPER($R354)," ",""),'DM_XaPhuong'!$C$2:$C$169)),1)),"Không tìm thấy"))</f>
        <v/>
      </c>
      <c r="AB354" s="5">
        <f>IF($T354="","",IFERROR(INDEX('DM_NgheNghiep'!$B$2:$B$11,AGGREGATE(15,6,ROW('DM_NgheNghiep'!$B$2:$B$11)-ROW('DM_NgheNghiep'!$B$2)+1/ISNUMBER(SEARCH(SUBSTITUTE(UPPER($T354)," ",""),'DM_NgheNghiep'!$C$2:$C$11)),1)),"Không tìm thấy"))</f>
        <v/>
      </c>
      <c r="AD354" s="5">
        <f>IF($U354="","",IFERROR(INDEX('DM_NoiCongTac'!$B$2:$B$11,AGGREGATE(15,6,ROW('DM_NoiCongTac'!$B$2:$B$11)-ROW('DM_NoiCongTac'!$B$2)+1/ISNUMBER(SEARCH(SUBSTITUTE(UPPER($U354)," ",""),'DM_NoiCongTac'!$C$2:$C$11)),1)),"Không tìm thấy"))</f>
        <v/>
      </c>
      <c r="AF354" s="5">
        <f>IF($V354="","",IFERROR(INDEX('DM_XaPhuong'!$B$2:$B$169,AGGREGATE(15,6,ROW('DM_XaPhuong'!$B$2:$B$169)-ROW('DM_XaPhuong'!$B$2)+1/ISNUMBER(SEARCH(SUBSTITUTE(UPPER($V354)," ",""),'DM_XaPhuong'!$C$2:$C$169)),1)),"Không tìm thấy"))</f>
        <v/>
      </c>
    </row>
    <row r="355">
      <c r="C355" s="5">
        <f>IF($B355="","",IFERROR(INDEX('DM_DoiTuong'!$B$2:$B$19,AGGREGATE(15,6,ROW('DM_DoiTuong'!$B$2:$B$19)-ROW('DM_DoiTuong'!$B$2)+1/ISNUMBER(SEARCH(SUBSTITUTE(UPPER($B355)," ",""),'DM_DoiTuong'!$C$2:$C$19)),1)),"Không tìm thấy"))</f>
        <v/>
      </c>
      <c r="E355" s="5">
        <f>IF($C355="","",IFERROR(INDEX('DM_DiaDiemKham'!$B$2:$B$6,AGGREGATE(15,6,ROW('DM_DiaDiemKham'!$B$2:$B$6)-ROW('DM_DiaDiemKham'!$B$2)+1/ISNUMBER(SEARCH(SUBSTITUTE(UPPER($C355)," ",""),'DM_DiaDiemKham'!$C$2:$C$6)),1)),"Không tìm thấy"))</f>
        <v/>
      </c>
      <c r="G355" s="5">
        <f>IF($D355="","",IFERROR(INDEX('DM_HinhThucChiTra'!$B$2:$B$5,AGGREGATE(15,6,ROW('DM_HinhThucChiTra'!$B$2:$B$5)-ROW('DM_HinhThucChiTra'!$B$2)+1/ISNUMBER(SEARCH(SUBSTITUTE(UPPER($D355)," ",""),'DM_HinhThucChiTra'!$C$2:$C$5)),1)),"Không tìm thấy"))</f>
        <v/>
      </c>
      <c r="I355" s="5">
        <f>IF($E355="","",IFERROR(INDEX('DM_HinhThucKham'!$B$2:$B$3,AGGREGATE(15,6,ROW('DM_HinhThucKham'!$B$2:$B$3)-ROW('DM_HinhThucKham'!$B$2)+1/ISNUMBER(SEARCH(SUBSTITUTE(UPPER($E355)," ",""),'DM_HinhThucKham'!$C$2:$C$3)),1)),"Không tìm thấy"))</f>
        <v/>
      </c>
      <c r="P355" s="5">
        <f>IF($K355="","",IFERROR(INDEX('DM_DanToc'!$B$2:$B$78,AGGREGATE(15,6,ROW('DM_DanToc'!$B$2:$B$78)-ROW('DM_DanToc'!$B$2)+1/ISNUMBER(SEARCH(SUBSTITUTE(UPPER($K355)," ",""),'DM_DanToc'!$C$2:$C$78)),1)),"Không tìm thấy"))</f>
        <v/>
      </c>
      <c r="W355" s="5">
        <f>IF($Q355="","",IFERROR(INDEX('DM_TinhThanh'!$B$2:$B$35,AGGREGATE(15,6,ROW('DM_TinhThanh'!$B$2:$B$35)-ROW('DM_TinhThanh'!$B$2)+1/ISNUMBER(SEARCH(SUBSTITUTE(UPPER($Q355)," ",""),'DM_TinhThanh'!$C$2:$C$35)),1)),"Không tìm thấy"))</f>
        <v/>
      </c>
      <c r="Y355" s="5">
        <f>IF($R355="","",IFERROR(INDEX('DM_XaPhuong'!$B$2:$B$169,AGGREGATE(15,6,ROW('DM_XaPhuong'!$B$2:$B$169)-ROW('DM_XaPhuong'!$B$2)+1/ISNUMBER(SEARCH(SUBSTITUTE(UPPER($R355)," ",""),'DM_XaPhuong'!$C$2:$C$169)),1)),"Không tìm thấy"))</f>
        <v/>
      </c>
      <c r="AB355" s="5">
        <f>IF($T355="","",IFERROR(INDEX('DM_NgheNghiep'!$B$2:$B$11,AGGREGATE(15,6,ROW('DM_NgheNghiep'!$B$2:$B$11)-ROW('DM_NgheNghiep'!$B$2)+1/ISNUMBER(SEARCH(SUBSTITUTE(UPPER($T355)," ",""),'DM_NgheNghiep'!$C$2:$C$11)),1)),"Không tìm thấy"))</f>
        <v/>
      </c>
      <c r="AD355" s="5">
        <f>IF($U355="","",IFERROR(INDEX('DM_NoiCongTac'!$B$2:$B$11,AGGREGATE(15,6,ROW('DM_NoiCongTac'!$B$2:$B$11)-ROW('DM_NoiCongTac'!$B$2)+1/ISNUMBER(SEARCH(SUBSTITUTE(UPPER($U355)," ",""),'DM_NoiCongTac'!$C$2:$C$11)),1)),"Không tìm thấy"))</f>
        <v/>
      </c>
      <c r="AF355" s="5">
        <f>IF($V355="","",IFERROR(INDEX('DM_XaPhuong'!$B$2:$B$169,AGGREGATE(15,6,ROW('DM_XaPhuong'!$B$2:$B$169)-ROW('DM_XaPhuong'!$B$2)+1/ISNUMBER(SEARCH(SUBSTITUTE(UPPER($V355)," ",""),'DM_XaPhuong'!$C$2:$C$169)),1)),"Không tìm thấy"))</f>
        <v/>
      </c>
    </row>
    <row r="356">
      <c r="C356" s="5">
        <f>IF($B356="","",IFERROR(INDEX('DM_DoiTuong'!$B$2:$B$19,AGGREGATE(15,6,ROW('DM_DoiTuong'!$B$2:$B$19)-ROW('DM_DoiTuong'!$B$2)+1/ISNUMBER(SEARCH(SUBSTITUTE(UPPER($B356)," ",""),'DM_DoiTuong'!$C$2:$C$19)),1)),"Không tìm thấy"))</f>
        <v/>
      </c>
      <c r="E356" s="5">
        <f>IF($C356="","",IFERROR(INDEX('DM_DiaDiemKham'!$B$2:$B$6,AGGREGATE(15,6,ROW('DM_DiaDiemKham'!$B$2:$B$6)-ROW('DM_DiaDiemKham'!$B$2)+1/ISNUMBER(SEARCH(SUBSTITUTE(UPPER($C356)," ",""),'DM_DiaDiemKham'!$C$2:$C$6)),1)),"Không tìm thấy"))</f>
        <v/>
      </c>
      <c r="G356" s="5">
        <f>IF($D356="","",IFERROR(INDEX('DM_HinhThucChiTra'!$B$2:$B$5,AGGREGATE(15,6,ROW('DM_HinhThucChiTra'!$B$2:$B$5)-ROW('DM_HinhThucChiTra'!$B$2)+1/ISNUMBER(SEARCH(SUBSTITUTE(UPPER($D356)," ",""),'DM_HinhThucChiTra'!$C$2:$C$5)),1)),"Không tìm thấy"))</f>
        <v/>
      </c>
      <c r="I356" s="5">
        <f>IF($E356="","",IFERROR(INDEX('DM_HinhThucKham'!$B$2:$B$3,AGGREGATE(15,6,ROW('DM_HinhThucKham'!$B$2:$B$3)-ROW('DM_HinhThucKham'!$B$2)+1/ISNUMBER(SEARCH(SUBSTITUTE(UPPER($E356)," ",""),'DM_HinhThucKham'!$C$2:$C$3)),1)),"Không tìm thấy"))</f>
        <v/>
      </c>
      <c r="P356" s="5">
        <f>IF($K356="","",IFERROR(INDEX('DM_DanToc'!$B$2:$B$78,AGGREGATE(15,6,ROW('DM_DanToc'!$B$2:$B$78)-ROW('DM_DanToc'!$B$2)+1/ISNUMBER(SEARCH(SUBSTITUTE(UPPER($K356)," ",""),'DM_DanToc'!$C$2:$C$78)),1)),"Không tìm thấy"))</f>
        <v/>
      </c>
      <c r="W356" s="5">
        <f>IF($Q356="","",IFERROR(INDEX('DM_TinhThanh'!$B$2:$B$35,AGGREGATE(15,6,ROW('DM_TinhThanh'!$B$2:$B$35)-ROW('DM_TinhThanh'!$B$2)+1/ISNUMBER(SEARCH(SUBSTITUTE(UPPER($Q356)," ",""),'DM_TinhThanh'!$C$2:$C$35)),1)),"Không tìm thấy"))</f>
        <v/>
      </c>
      <c r="Y356" s="5">
        <f>IF($R356="","",IFERROR(INDEX('DM_XaPhuong'!$B$2:$B$169,AGGREGATE(15,6,ROW('DM_XaPhuong'!$B$2:$B$169)-ROW('DM_XaPhuong'!$B$2)+1/ISNUMBER(SEARCH(SUBSTITUTE(UPPER($R356)," ",""),'DM_XaPhuong'!$C$2:$C$169)),1)),"Không tìm thấy"))</f>
        <v/>
      </c>
      <c r="AB356" s="5">
        <f>IF($T356="","",IFERROR(INDEX('DM_NgheNghiep'!$B$2:$B$11,AGGREGATE(15,6,ROW('DM_NgheNghiep'!$B$2:$B$11)-ROW('DM_NgheNghiep'!$B$2)+1/ISNUMBER(SEARCH(SUBSTITUTE(UPPER($T356)," ",""),'DM_NgheNghiep'!$C$2:$C$11)),1)),"Không tìm thấy"))</f>
        <v/>
      </c>
      <c r="AD356" s="5">
        <f>IF($U356="","",IFERROR(INDEX('DM_NoiCongTac'!$B$2:$B$11,AGGREGATE(15,6,ROW('DM_NoiCongTac'!$B$2:$B$11)-ROW('DM_NoiCongTac'!$B$2)+1/ISNUMBER(SEARCH(SUBSTITUTE(UPPER($U356)," ",""),'DM_NoiCongTac'!$C$2:$C$11)),1)),"Không tìm thấy"))</f>
        <v/>
      </c>
      <c r="AF356" s="5">
        <f>IF($V356="","",IFERROR(INDEX('DM_XaPhuong'!$B$2:$B$169,AGGREGATE(15,6,ROW('DM_XaPhuong'!$B$2:$B$169)-ROW('DM_XaPhuong'!$B$2)+1/ISNUMBER(SEARCH(SUBSTITUTE(UPPER($V356)," ",""),'DM_XaPhuong'!$C$2:$C$169)),1)),"Không tìm thấy"))</f>
        <v/>
      </c>
    </row>
    <row r="357">
      <c r="C357" s="5">
        <f>IF($B357="","",IFERROR(INDEX('DM_DoiTuong'!$B$2:$B$19,AGGREGATE(15,6,ROW('DM_DoiTuong'!$B$2:$B$19)-ROW('DM_DoiTuong'!$B$2)+1/ISNUMBER(SEARCH(SUBSTITUTE(UPPER($B357)," ",""),'DM_DoiTuong'!$C$2:$C$19)),1)),"Không tìm thấy"))</f>
        <v/>
      </c>
      <c r="E357" s="5">
        <f>IF($C357="","",IFERROR(INDEX('DM_DiaDiemKham'!$B$2:$B$6,AGGREGATE(15,6,ROW('DM_DiaDiemKham'!$B$2:$B$6)-ROW('DM_DiaDiemKham'!$B$2)+1/ISNUMBER(SEARCH(SUBSTITUTE(UPPER($C357)," ",""),'DM_DiaDiemKham'!$C$2:$C$6)),1)),"Không tìm thấy"))</f>
        <v/>
      </c>
      <c r="G357" s="5">
        <f>IF($D357="","",IFERROR(INDEX('DM_HinhThucChiTra'!$B$2:$B$5,AGGREGATE(15,6,ROW('DM_HinhThucChiTra'!$B$2:$B$5)-ROW('DM_HinhThucChiTra'!$B$2)+1/ISNUMBER(SEARCH(SUBSTITUTE(UPPER($D357)," ",""),'DM_HinhThucChiTra'!$C$2:$C$5)),1)),"Không tìm thấy"))</f>
        <v/>
      </c>
      <c r="I357" s="5">
        <f>IF($E357="","",IFERROR(INDEX('DM_HinhThucKham'!$B$2:$B$3,AGGREGATE(15,6,ROW('DM_HinhThucKham'!$B$2:$B$3)-ROW('DM_HinhThucKham'!$B$2)+1/ISNUMBER(SEARCH(SUBSTITUTE(UPPER($E357)," ",""),'DM_HinhThucKham'!$C$2:$C$3)),1)),"Không tìm thấy"))</f>
        <v/>
      </c>
      <c r="P357" s="5">
        <f>IF($K357="","",IFERROR(INDEX('DM_DanToc'!$B$2:$B$78,AGGREGATE(15,6,ROW('DM_DanToc'!$B$2:$B$78)-ROW('DM_DanToc'!$B$2)+1/ISNUMBER(SEARCH(SUBSTITUTE(UPPER($K357)," ",""),'DM_DanToc'!$C$2:$C$78)),1)),"Không tìm thấy"))</f>
        <v/>
      </c>
      <c r="W357" s="5">
        <f>IF($Q357="","",IFERROR(INDEX('DM_TinhThanh'!$B$2:$B$35,AGGREGATE(15,6,ROW('DM_TinhThanh'!$B$2:$B$35)-ROW('DM_TinhThanh'!$B$2)+1/ISNUMBER(SEARCH(SUBSTITUTE(UPPER($Q357)," ",""),'DM_TinhThanh'!$C$2:$C$35)),1)),"Không tìm thấy"))</f>
        <v/>
      </c>
      <c r="Y357" s="5">
        <f>IF($R357="","",IFERROR(INDEX('DM_XaPhuong'!$B$2:$B$169,AGGREGATE(15,6,ROW('DM_XaPhuong'!$B$2:$B$169)-ROW('DM_XaPhuong'!$B$2)+1/ISNUMBER(SEARCH(SUBSTITUTE(UPPER($R357)," ",""),'DM_XaPhuong'!$C$2:$C$169)),1)),"Không tìm thấy"))</f>
        <v/>
      </c>
      <c r="AB357" s="5">
        <f>IF($T357="","",IFERROR(INDEX('DM_NgheNghiep'!$B$2:$B$11,AGGREGATE(15,6,ROW('DM_NgheNghiep'!$B$2:$B$11)-ROW('DM_NgheNghiep'!$B$2)+1/ISNUMBER(SEARCH(SUBSTITUTE(UPPER($T357)," ",""),'DM_NgheNghiep'!$C$2:$C$11)),1)),"Không tìm thấy"))</f>
        <v/>
      </c>
      <c r="AD357" s="5">
        <f>IF($U357="","",IFERROR(INDEX('DM_NoiCongTac'!$B$2:$B$11,AGGREGATE(15,6,ROW('DM_NoiCongTac'!$B$2:$B$11)-ROW('DM_NoiCongTac'!$B$2)+1/ISNUMBER(SEARCH(SUBSTITUTE(UPPER($U357)," ",""),'DM_NoiCongTac'!$C$2:$C$11)),1)),"Không tìm thấy"))</f>
        <v/>
      </c>
      <c r="AF357" s="5">
        <f>IF($V357="","",IFERROR(INDEX('DM_XaPhuong'!$B$2:$B$169,AGGREGATE(15,6,ROW('DM_XaPhuong'!$B$2:$B$169)-ROW('DM_XaPhuong'!$B$2)+1/ISNUMBER(SEARCH(SUBSTITUTE(UPPER($V357)," ",""),'DM_XaPhuong'!$C$2:$C$169)),1)),"Không tìm thấy"))</f>
        <v/>
      </c>
    </row>
    <row r="358">
      <c r="C358" s="5">
        <f>IF($B358="","",IFERROR(INDEX('DM_DoiTuong'!$B$2:$B$19,AGGREGATE(15,6,ROW('DM_DoiTuong'!$B$2:$B$19)-ROW('DM_DoiTuong'!$B$2)+1/ISNUMBER(SEARCH(SUBSTITUTE(UPPER($B358)," ",""),'DM_DoiTuong'!$C$2:$C$19)),1)),"Không tìm thấy"))</f>
        <v/>
      </c>
      <c r="E358" s="5">
        <f>IF($C358="","",IFERROR(INDEX('DM_DiaDiemKham'!$B$2:$B$6,AGGREGATE(15,6,ROW('DM_DiaDiemKham'!$B$2:$B$6)-ROW('DM_DiaDiemKham'!$B$2)+1/ISNUMBER(SEARCH(SUBSTITUTE(UPPER($C358)," ",""),'DM_DiaDiemKham'!$C$2:$C$6)),1)),"Không tìm thấy"))</f>
        <v/>
      </c>
      <c r="G358" s="5">
        <f>IF($D358="","",IFERROR(INDEX('DM_HinhThucChiTra'!$B$2:$B$5,AGGREGATE(15,6,ROW('DM_HinhThucChiTra'!$B$2:$B$5)-ROW('DM_HinhThucChiTra'!$B$2)+1/ISNUMBER(SEARCH(SUBSTITUTE(UPPER($D358)," ",""),'DM_HinhThucChiTra'!$C$2:$C$5)),1)),"Không tìm thấy"))</f>
        <v/>
      </c>
      <c r="I358" s="5">
        <f>IF($E358="","",IFERROR(INDEX('DM_HinhThucKham'!$B$2:$B$3,AGGREGATE(15,6,ROW('DM_HinhThucKham'!$B$2:$B$3)-ROW('DM_HinhThucKham'!$B$2)+1/ISNUMBER(SEARCH(SUBSTITUTE(UPPER($E358)," ",""),'DM_HinhThucKham'!$C$2:$C$3)),1)),"Không tìm thấy"))</f>
        <v/>
      </c>
      <c r="P358" s="5">
        <f>IF($K358="","",IFERROR(INDEX('DM_DanToc'!$B$2:$B$78,AGGREGATE(15,6,ROW('DM_DanToc'!$B$2:$B$78)-ROW('DM_DanToc'!$B$2)+1/ISNUMBER(SEARCH(SUBSTITUTE(UPPER($K358)," ",""),'DM_DanToc'!$C$2:$C$78)),1)),"Không tìm thấy"))</f>
        <v/>
      </c>
      <c r="W358" s="5">
        <f>IF($Q358="","",IFERROR(INDEX('DM_TinhThanh'!$B$2:$B$35,AGGREGATE(15,6,ROW('DM_TinhThanh'!$B$2:$B$35)-ROW('DM_TinhThanh'!$B$2)+1/ISNUMBER(SEARCH(SUBSTITUTE(UPPER($Q358)," ",""),'DM_TinhThanh'!$C$2:$C$35)),1)),"Không tìm thấy"))</f>
        <v/>
      </c>
      <c r="Y358" s="5">
        <f>IF($R358="","",IFERROR(INDEX('DM_XaPhuong'!$B$2:$B$169,AGGREGATE(15,6,ROW('DM_XaPhuong'!$B$2:$B$169)-ROW('DM_XaPhuong'!$B$2)+1/ISNUMBER(SEARCH(SUBSTITUTE(UPPER($R358)," ",""),'DM_XaPhuong'!$C$2:$C$169)),1)),"Không tìm thấy"))</f>
        <v/>
      </c>
      <c r="AB358" s="5">
        <f>IF($T358="","",IFERROR(INDEX('DM_NgheNghiep'!$B$2:$B$11,AGGREGATE(15,6,ROW('DM_NgheNghiep'!$B$2:$B$11)-ROW('DM_NgheNghiep'!$B$2)+1/ISNUMBER(SEARCH(SUBSTITUTE(UPPER($T358)," ",""),'DM_NgheNghiep'!$C$2:$C$11)),1)),"Không tìm thấy"))</f>
        <v/>
      </c>
      <c r="AD358" s="5">
        <f>IF($U358="","",IFERROR(INDEX('DM_NoiCongTac'!$B$2:$B$11,AGGREGATE(15,6,ROW('DM_NoiCongTac'!$B$2:$B$11)-ROW('DM_NoiCongTac'!$B$2)+1/ISNUMBER(SEARCH(SUBSTITUTE(UPPER($U358)," ",""),'DM_NoiCongTac'!$C$2:$C$11)),1)),"Không tìm thấy"))</f>
        <v/>
      </c>
      <c r="AF358" s="5">
        <f>IF($V358="","",IFERROR(INDEX('DM_XaPhuong'!$B$2:$B$169,AGGREGATE(15,6,ROW('DM_XaPhuong'!$B$2:$B$169)-ROW('DM_XaPhuong'!$B$2)+1/ISNUMBER(SEARCH(SUBSTITUTE(UPPER($V358)," ",""),'DM_XaPhuong'!$C$2:$C$169)),1)),"Không tìm thấy"))</f>
        <v/>
      </c>
    </row>
    <row r="359">
      <c r="C359" s="5">
        <f>IF($B359="","",IFERROR(INDEX('DM_DoiTuong'!$B$2:$B$19,AGGREGATE(15,6,ROW('DM_DoiTuong'!$B$2:$B$19)-ROW('DM_DoiTuong'!$B$2)+1/ISNUMBER(SEARCH(SUBSTITUTE(UPPER($B359)," ",""),'DM_DoiTuong'!$C$2:$C$19)),1)),"Không tìm thấy"))</f>
        <v/>
      </c>
      <c r="E359" s="5">
        <f>IF($C359="","",IFERROR(INDEX('DM_DiaDiemKham'!$B$2:$B$6,AGGREGATE(15,6,ROW('DM_DiaDiemKham'!$B$2:$B$6)-ROW('DM_DiaDiemKham'!$B$2)+1/ISNUMBER(SEARCH(SUBSTITUTE(UPPER($C359)," ",""),'DM_DiaDiemKham'!$C$2:$C$6)),1)),"Không tìm thấy"))</f>
        <v/>
      </c>
      <c r="G359" s="5">
        <f>IF($D359="","",IFERROR(INDEX('DM_HinhThucChiTra'!$B$2:$B$5,AGGREGATE(15,6,ROW('DM_HinhThucChiTra'!$B$2:$B$5)-ROW('DM_HinhThucChiTra'!$B$2)+1/ISNUMBER(SEARCH(SUBSTITUTE(UPPER($D359)," ",""),'DM_HinhThucChiTra'!$C$2:$C$5)),1)),"Không tìm thấy"))</f>
        <v/>
      </c>
      <c r="I359" s="5">
        <f>IF($E359="","",IFERROR(INDEX('DM_HinhThucKham'!$B$2:$B$3,AGGREGATE(15,6,ROW('DM_HinhThucKham'!$B$2:$B$3)-ROW('DM_HinhThucKham'!$B$2)+1/ISNUMBER(SEARCH(SUBSTITUTE(UPPER($E359)," ",""),'DM_HinhThucKham'!$C$2:$C$3)),1)),"Không tìm thấy"))</f>
        <v/>
      </c>
      <c r="P359" s="5">
        <f>IF($K359="","",IFERROR(INDEX('DM_DanToc'!$B$2:$B$78,AGGREGATE(15,6,ROW('DM_DanToc'!$B$2:$B$78)-ROW('DM_DanToc'!$B$2)+1/ISNUMBER(SEARCH(SUBSTITUTE(UPPER($K359)," ",""),'DM_DanToc'!$C$2:$C$78)),1)),"Không tìm thấy"))</f>
        <v/>
      </c>
      <c r="W359" s="5">
        <f>IF($Q359="","",IFERROR(INDEX('DM_TinhThanh'!$B$2:$B$35,AGGREGATE(15,6,ROW('DM_TinhThanh'!$B$2:$B$35)-ROW('DM_TinhThanh'!$B$2)+1/ISNUMBER(SEARCH(SUBSTITUTE(UPPER($Q359)," ",""),'DM_TinhThanh'!$C$2:$C$35)),1)),"Không tìm thấy"))</f>
        <v/>
      </c>
      <c r="Y359" s="5">
        <f>IF($R359="","",IFERROR(INDEX('DM_XaPhuong'!$B$2:$B$169,AGGREGATE(15,6,ROW('DM_XaPhuong'!$B$2:$B$169)-ROW('DM_XaPhuong'!$B$2)+1/ISNUMBER(SEARCH(SUBSTITUTE(UPPER($R359)," ",""),'DM_XaPhuong'!$C$2:$C$169)),1)),"Không tìm thấy"))</f>
        <v/>
      </c>
      <c r="AB359" s="5">
        <f>IF($T359="","",IFERROR(INDEX('DM_NgheNghiep'!$B$2:$B$11,AGGREGATE(15,6,ROW('DM_NgheNghiep'!$B$2:$B$11)-ROW('DM_NgheNghiep'!$B$2)+1/ISNUMBER(SEARCH(SUBSTITUTE(UPPER($T359)," ",""),'DM_NgheNghiep'!$C$2:$C$11)),1)),"Không tìm thấy"))</f>
        <v/>
      </c>
      <c r="AD359" s="5">
        <f>IF($U359="","",IFERROR(INDEX('DM_NoiCongTac'!$B$2:$B$11,AGGREGATE(15,6,ROW('DM_NoiCongTac'!$B$2:$B$11)-ROW('DM_NoiCongTac'!$B$2)+1/ISNUMBER(SEARCH(SUBSTITUTE(UPPER($U359)," ",""),'DM_NoiCongTac'!$C$2:$C$11)),1)),"Không tìm thấy"))</f>
        <v/>
      </c>
      <c r="AF359" s="5">
        <f>IF($V359="","",IFERROR(INDEX('DM_XaPhuong'!$B$2:$B$169,AGGREGATE(15,6,ROW('DM_XaPhuong'!$B$2:$B$169)-ROW('DM_XaPhuong'!$B$2)+1/ISNUMBER(SEARCH(SUBSTITUTE(UPPER($V359)," ",""),'DM_XaPhuong'!$C$2:$C$169)),1)),"Không tìm thấy"))</f>
        <v/>
      </c>
    </row>
    <row r="360">
      <c r="C360" s="5">
        <f>IF($B360="","",IFERROR(INDEX('DM_DoiTuong'!$B$2:$B$19,AGGREGATE(15,6,ROW('DM_DoiTuong'!$B$2:$B$19)-ROW('DM_DoiTuong'!$B$2)+1/ISNUMBER(SEARCH(SUBSTITUTE(UPPER($B360)," ",""),'DM_DoiTuong'!$C$2:$C$19)),1)),"Không tìm thấy"))</f>
        <v/>
      </c>
      <c r="E360" s="5">
        <f>IF($C360="","",IFERROR(INDEX('DM_DiaDiemKham'!$B$2:$B$6,AGGREGATE(15,6,ROW('DM_DiaDiemKham'!$B$2:$B$6)-ROW('DM_DiaDiemKham'!$B$2)+1/ISNUMBER(SEARCH(SUBSTITUTE(UPPER($C360)," ",""),'DM_DiaDiemKham'!$C$2:$C$6)),1)),"Không tìm thấy"))</f>
        <v/>
      </c>
      <c r="G360" s="5">
        <f>IF($D360="","",IFERROR(INDEX('DM_HinhThucChiTra'!$B$2:$B$5,AGGREGATE(15,6,ROW('DM_HinhThucChiTra'!$B$2:$B$5)-ROW('DM_HinhThucChiTra'!$B$2)+1/ISNUMBER(SEARCH(SUBSTITUTE(UPPER($D360)," ",""),'DM_HinhThucChiTra'!$C$2:$C$5)),1)),"Không tìm thấy"))</f>
        <v/>
      </c>
      <c r="I360" s="5">
        <f>IF($E360="","",IFERROR(INDEX('DM_HinhThucKham'!$B$2:$B$3,AGGREGATE(15,6,ROW('DM_HinhThucKham'!$B$2:$B$3)-ROW('DM_HinhThucKham'!$B$2)+1/ISNUMBER(SEARCH(SUBSTITUTE(UPPER($E360)," ",""),'DM_HinhThucKham'!$C$2:$C$3)),1)),"Không tìm thấy"))</f>
        <v/>
      </c>
      <c r="P360" s="5">
        <f>IF($K360="","",IFERROR(INDEX('DM_DanToc'!$B$2:$B$78,AGGREGATE(15,6,ROW('DM_DanToc'!$B$2:$B$78)-ROW('DM_DanToc'!$B$2)+1/ISNUMBER(SEARCH(SUBSTITUTE(UPPER($K360)," ",""),'DM_DanToc'!$C$2:$C$78)),1)),"Không tìm thấy"))</f>
        <v/>
      </c>
      <c r="W360" s="5">
        <f>IF($Q360="","",IFERROR(INDEX('DM_TinhThanh'!$B$2:$B$35,AGGREGATE(15,6,ROW('DM_TinhThanh'!$B$2:$B$35)-ROW('DM_TinhThanh'!$B$2)+1/ISNUMBER(SEARCH(SUBSTITUTE(UPPER($Q360)," ",""),'DM_TinhThanh'!$C$2:$C$35)),1)),"Không tìm thấy"))</f>
        <v/>
      </c>
      <c r="Y360" s="5">
        <f>IF($R360="","",IFERROR(INDEX('DM_XaPhuong'!$B$2:$B$169,AGGREGATE(15,6,ROW('DM_XaPhuong'!$B$2:$B$169)-ROW('DM_XaPhuong'!$B$2)+1/ISNUMBER(SEARCH(SUBSTITUTE(UPPER($R360)," ",""),'DM_XaPhuong'!$C$2:$C$169)),1)),"Không tìm thấy"))</f>
        <v/>
      </c>
      <c r="AB360" s="5">
        <f>IF($T360="","",IFERROR(INDEX('DM_NgheNghiep'!$B$2:$B$11,AGGREGATE(15,6,ROW('DM_NgheNghiep'!$B$2:$B$11)-ROW('DM_NgheNghiep'!$B$2)+1/ISNUMBER(SEARCH(SUBSTITUTE(UPPER($T360)," ",""),'DM_NgheNghiep'!$C$2:$C$11)),1)),"Không tìm thấy"))</f>
        <v/>
      </c>
      <c r="AD360" s="5">
        <f>IF($U360="","",IFERROR(INDEX('DM_NoiCongTac'!$B$2:$B$11,AGGREGATE(15,6,ROW('DM_NoiCongTac'!$B$2:$B$11)-ROW('DM_NoiCongTac'!$B$2)+1/ISNUMBER(SEARCH(SUBSTITUTE(UPPER($U360)," ",""),'DM_NoiCongTac'!$C$2:$C$11)),1)),"Không tìm thấy"))</f>
        <v/>
      </c>
      <c r="AF360" s="5">
        <f>IF($V360="","",IFERROR(INDEX('DM_XaPhuong'!$B$2:$B$169,AGGREGATE(15,6,ROW('DM_XaPhuong'!$B$2:$B$169)-ROW('DM_XaPhuong'!$B$2)+1/ISNUMBER(SEARCH(SUBSTITUTE(UPPER($V360)," ",""),'DM_XaPhuong'!$C$2:$C$169)),1)),"Không tìm thấy"))</f>
        <v/>
      </c>
    </row>
    <row r="361">
      <c r="C361" s="5">
        <f>IF($B361="","",IFERROR(INDEX('DM_DoiTuong'!$B$2:$B$19,AGGREGATE(15,6,ROW('DM_DoiTuong'!$B$2:$B$19)-ROW('DM_DoiTuong'!$B$2)+1/ISNUMBER(SEARCH(SUBSTITUTE(UPPER($B361)," ",""),'DM_DoiTuong'!$C$2:$C$19)),1)),"Không tìm thấy"))</f>
        <v/>
      </c>
      <c r="E361" s="5">
        <f>IF($C361="","",IFERROR(INDEX('DM_DiaDiemKham'!$B$2:$B$6,AGGREGATE(15,6,ROW('DM_DiaDiemKham'!$B$2:$B$6)-ROW('DM_DiaDiemKham'!$B$2)+1/ISNUMBER(SEARCH(SUBSTITUTE(UPPER($C361)," ",""),'DM_DiaDiemKham'!$C$2:$C$6)),1)),"Không tìm thấy"))</f>
        <v/>
      </c>
      <c r="G361" s="5">
        <f>IF($D361="","",IFERROR(INDEX('DM_HinhThucChiTra'!$B$2:$B$5,AGGREGATE(15,6,ROW('DM_HinhThucChiTra'!$B$2:$B$5)-ROW('DM_HinhThucChiTra'!$B$2)+1/ISNUMBER(SEARCH(SUBSTITUTE(UPPER($D361)," ",""),'DM_HinhThucChiTra'!$C$2:$C$5)),1)),"Không tìm thấy"))</f>
        <v/>
      </c>
      <c r="I361" s="5">
        <f>IF($E361="","",IFERROR(INDEX('DM_HinhThucKham'!$B$2:$B$3,AGGREGATE(15,6,ROW('DM_HinhThucKham'!$B$2:$B$3)-ROW('DM_HinhThucKham'!$B$2)+1/ISNUMBER(SEARCH(SUBSTITUTE(UPPER($E361)," ",""),'DM_HinhThucKham'!$C$2:$C$3)),1)),"Không tìm thấy"))</f>
        <v/>
      </c>
      <c r="P361" s="5">
        <f>IF($K361="","",IFERROR(INDEX('DM_DanToc'!$B$2:$B$78,AGGREGATE(15,6,ROW('DM_DanToc'!$B$2:$B$78)-ROW('DM_DanToc'!$B$2)+1/ISNUMBER(SEARCH(SUBSTITUTE(UPPER($K361)," ",""),'DM_DanToc'!$C$2:$C$78)),1)),"Không tìm thấy"))</f>
        <v/>
      </c>
      <c r="W361" s="5">
        <f>IF($Q361="","",IFERROR(INDEX('DM_TinhThanh'!$B$2:$B$35,AGGREGATE(15,6,ROW('DM_TinhThanh'!$B$2:$B$35)-ROW('DM_TinhThanh'!$B$2)+1/ISNUMBER(SEARCH(SUBSTITUTE(UPPER($Q361)," ",""),'DM_TinhThanh'!$C$2:$C$35)),1)),"Không tìm thấy"))</f>
        <v/>
      </c>
      <c r="Y361" s="5">
        <f>IF($R361="","",IFERROR(INDEX('DM_XaPhuong'!$B$2:$B$169,AGGREGATE(15,6,ROW('DM_XaPhuong'!$B$2:$B$169)-ROW('DM_XaPhuong'!$B$2)+1/ISNUMBER(SEARCH(SUBSTITUTE(UPPER($R361)," ",""),'DM_XaPhuong'!$C$2:$C$169)),1)),"Không tìm thấy"))</f>
        <v/>
      </c>
      <c r="AB361" s="5">
        <f>IF($T361="","",IFERROR(INDEX('DM_NgheNghiep'!$B$2:$B$11,AGGREGATE(15,6,ROW('DM_NgheNghiep'!$B$2:$B$11)-ROW('DM_NgheNghiep'!$B$2)+1/ISNUMBER(SEARCH(SUBSTITUTE(UPPER($T361)," ",""),'DM_NgheNghiep'!$C$2:$C$11)),1)),"Không tìm thấy"))</f>
        <v/>
      </c>
      <c r="AD361" s="5">
        <f>IF($U361="","",IFERROR(INDEX('DM_NoiCongTac'!$B$2:$B$11,AGGREGATE(15,6,ROW('DM_NoiCongTac'!$B$2:$B$11)-ROW('DM_NoiCongTac'!$B$2)+1/ISNUMBER(SEARCH(SUBSTITUTE(UPPER($U361)," ",""),'DM_NoiCongTac'!$C$2:$C$11)),1)),"Không tìm thấy"))</f>
        <v/>
      </c>
      <c r="AF361" s="5">
        <f>IF($V361="","",IFERROR(INDEX('DM_XaPhuong'!$B$2:$B$169,AGGREGATE(15,6,ROW('DM_XaPhuong'!$B$2:$B$169)-ROW('DM_XaPhuong'!$B$2)+1/ISNUMBER(SEARCH(SUBSTITUTE(UPPER($V361)," ",""),'DM_XaPhuong'!$C$2:$C$169)),1)),"Không tìm thấy"))</f>
        <v/>
      </c>
    </row>
    <row r="362">
      <c r="C362" s="5">
        <f>IF($B362="","",IFERROR(INDEX('DM_DoiTuong'!$B$2:$B$19,AGGREGATE(15,6,ROW('DM_DoiTuong'!$B$2:$B$19)-ROW('DM_DoiTuong'!$B$2)+1/ISNUMBER(SEARCH(SUBSTITUTE(UPPER($B362)," ",""),'DM_DoiTuong'!$C$2:$C$19)),1)),"Không tìm thấy"))</f>
        <v/>
      </c>
      <c r="E362" s="5">
        <f>IF($C362="","",IFERROR(INDEX('DM_DiaDiemKham'!$B$2:$B$6,AGGREGATE(15,6,ROW('DM_DiaDiemKham'!$B$2:$B$6)-ROW('DM_DiaDiemKham'!$B$2)+1/ISNUMBER(SEARCH(SUBSTITUTE(UPPER($C362)," ",""),'DM_DiaDiemKham'!$C$2:$C$6)),1)),"Không tìm thấy"))</f>
        <v/>
      </c>
      <c r="G362" s="5">
        <f>IF($D362="","",IFERROR(INDEX('DM_HinhThucChiTra'!$B$2:$B$5,AGGREGATE(15,6,ROW('DM_HinhThucChiTra'!$B$2:$B$5)-ROW('DM_HinhThucChiTra'!$B$2)+1/ISNUMBER(SEARCH(SUBSTITUTE(UPPER($D362)," ",""),'DM_HinhThucChiTra'!$C$2:$C$5)),1)),"Không tìm thấy"))</f>
        <v/>
      </c>
      <c r="I362" s="5">
        <f>IF($E362="","",IFERROR(INDEX('DM_HinhThucKham'!$B$2:$B$3,AGGREGATE(15,6,ROW('DM_HinhThucKham'!$B$2:$B$3)-ROW('DM_HinhThucKham'!$B$2)+1/ISNUMBER(SEARCH(SUBSTITUTE(UPPER($E362)," ",""),'DM_HinhThucKham'!$C$2:$C$3)),1)),"Không tìm thấy"))</f>
        <v/>
      </c>
      <c r="P362" s="5">
        <f>IF($K362="","",IFERROR(INDEX('DM_DanToc'!$B$2:$B$78,AGGREGATE(15,6,ROW('DM_DanToc'!$B$2:$B$78)-ROW('DM_DanToc'!$B$2)+1/ISNUMBER(SEARCH(SUBSTITUTE(UPPER($K362)," ",""),'DM_DanToc'!$C$2:$C$78)),1)),"Không tìm thấy"))</f>
        <v/>
      </c>
      <c r="W362" s="5">
        <f>IF($Q362="","",IFERROR(INDEX('DM_TinhThanh'!$B$2:$B$35,AGGREGATE(15,6,ROW('DM_TinhThanh'!$B$2:$B$35)-ROW('DM_TinhThanh'!$B$2)+1/ISNUMBER(SEARCH(SUBSTITUTE(UPPER($Q362)," ",""),'DM_TinhThanh'!$C$2:$C$35)),1)),"Không tìm thấy"))</f>
        <v/>
      </c>
      <c r="Y362" s="5">
        <f>IF($R362="","",IFERROR(INDEX('DM_XaPhuong'!$B$2:$B$169,AGGREGATE(15,6,ROW('DM_XaPhuong'!$B$2:$B$169)-ROW('DM_XaPhuong'!$B$2)+1/ISNUMBER(SEARCH(SUBSTITUTE(UPPER($R362)," ",""),'DM_XaPhuong'!$C$2:$C$169)),1)),"Không tìm thấy"))</f>
        <v/>
      </c>
      <c r="AB362" s="5">
        <f>IF($T362="","",IFERROR(INDEX('DM_NgheNghiep'!$B$2:$B$11,AGGREGATE(15,6,ROW('DM_NgheNghiep'!$B$2:$B$11)-ROW('DM_NgheNghiep'!$B$2)+1/ISNUMBER(SEARCH(SUBSTITUTE(UPPER($T362)," ",""),'DM_NgheNghiep'!$C$2:$C$11)),1)),"Không tìm thấy"))</f>
        <v/>
      </c>
      <c r="AD362" s="5">
        <f>IF($U362="","",IFERROR(INDEX('DM_NoiCongTac'!$B$2:$B$11,AGGREGATE(15,6,ROW('DM_NoiCongTac'!$B$2:$B$11)-ROW('DM_NoiCongTac'!$B$2)+1/ISNUMBER(SEARCH(SUBSTITUTE(UPPER($U362)," ",""),'DM_NoiCongTac'!$C$2:$C$11)),1)),"Không tìm thấy"))</f>
        <v/>
      </c>
      <c r="AF362" s="5">
        <f>IF($V362="","",IFERROR(INDEX('DM_XaPhuong'!$B$2:$B$169,AGGREGATE(15,6,ROW('DM_XaPhuong'!$B$2:$B$169)-ROW('DM_XaPhuong'!$B$2)+1/ISNUMBER(SEARCH(SUBSTITUTE(UPPER($V362)," ",""),'DM_XaPhuong'!$C$2:$C$169)),1)),"Không tìm thấy"))</f>
        <v/>
      </c>
    </row>
    <row r="363">
      <c r="C363" s="5">
        <f>IF($B363="","",IFERROR(INDEX('DM_DoiTuong'!$B$2:$B$19,AGGREGATE(15,6,ROW('DM_DoiTuong'!$B$2:$B$19)-ROW('DM_DoiTuong'!$B$2)+1/ISNUMBER(SEARCH(SUBSTITUTE(UPPER($B363)," ",""),'DM_DoiTuong'!$C$2:$C$19)),1)),"Không tìm thấy"))</f>
        <v/>
      </c>
      <c r="E363" s="5">
        <f>IF($C363="","",IFERROR(INDEX('DM_DiaDiemKham'!$B$2:$B$6,AGGREGATE(15,6,ROW('DM_DiaDiemKham'!$B$2:$B$6)-ROW('DM_DiaDiemKham'!$B$2)+1/ISNUMBER(SEARCH(SUBSTITUTE(UPPER($C363)," ",""),'DM_DiaDiemKham'!$C$2:$C$6)),1)),"Không tìm thấy"))</f>
        <v/>
      </c>
      <c r="G363" s="5">
        <f>IF($D363="","",IFERROR(INDEX('DM_HinhThucChiTra'!$B$2:$B$5,AGGREGATE(15,6,ROW('DM_HinhThucChiTra'!$B$2:$B$5)-ROW('DM_HinhThucChiTra'!$B$2)+1/ISNUMBER(SEARCH(SUBSTITUTE(UPPER($D363)," ",""),'DM_HinhThucChiTra'!$C$2:$C$5)),1)),"Không tìm thấy"))</f>
        <v/>
      </c>
      <c r="I363" s="5">
        <f>IF($E363="","",IFERROR(INDEX('DM_HinhThucKham'!$B$2:$B$3,AGGREGATE(15,6,ROW('DM_HinhThucKham'!$B$2:$B$3)-ROW('DM_HinhThucKham'!$B$2)+1/ISNUMBER(SEARCH(SUBSTITUTE(UPPER($E363)," ",""),'DM_HinhThucKham'!$C$2:$C$3)),1)),"Không tìm thấy"))</f>
        <v/>
      </c>
      <c r="P363" s="5">
        <f>IF($K363="","",IFERROR(INDEX('DM_DanToc'!$B$2:$B$78,AGGREGATE(15,6,ROW('DM_DanToc'!$B$2:$B$78)-ROW('DM_DanToc'!$B$2)+1/ISNUMBER(SEARCH(SUBSTITUTE(UPPER($K363)," ",""),'DM_DanToc'!$C$2:$C$78)),1)),"Không tìm thấy"))</f>
        <v/>
      </c>
      <c r="W363" s="5">
        <f>IF($Q363="","",IFERROR(INDEX('DM_TinhThanh'!$B$2:$B$35,AGGREGATE(15,6,ROW('DM_TinhThanh'!$B$2:$B$35)-ROW('DM_TinhThanh'!$B$2)+1/ISNUMBER(SEARCH(SUBSTITUTE(UPPER($Q363)," ",""),'DM_TinhThanh'!$C$2:$C$35)),1)),"Không tìm thấy"))</f>
        <v/>
      </c>
      <c r="Y363" s="5">
        <f>IF($R363="","",IFERROR(INDEX('DM_XaPhuong'!$B$2:$B$169,AGGREGATE(15,6,ROW('DM_XaPhuong'!$B$2:$B$169)-ROW('DM_XaPhuong'!$B$2)+1/ISNUMBER(SEARCH(SUBSTITUTE(UPPER($R363)," ",""),'DM_XaPhuong'!$C$2:$C$169)),1)),"Không tìm thấy"))</f>
        <v/>
      </c>
      <c r="AB363" s="5">
        <f>IF($T363="","",IFERROR(INDEX('DM_NgheNghiep'!$B$2:$B$11,AGGREGATE(15,6,ROW('DM_NgheNghiep'!$B$2:$B$11)-ROW('DM_NgheNghiep'!$B$2)+1/ISNUMBER(SEARCH(SUBSTITUTE(UPPER($T363)," ",""),'DM_NgheNghiep'!$C$2:$C$11)),1)),"Không tìm thấy"))</f>
        <v/>
      </c>
      <c r="AD363" s="5">
        <f>IF($U363="","",IFERROR(INDEX('DM_NoiCongTac'!$B$2:$B$11,AGGREGATE(15,6,ROW('DM_NoiCongTac'!$B$2:$B$11)-ROW('DM_NoiCongTac'!$B$2)+1/ISNUMBER(SEARCH(SUBSTITUTE(UPPER($U363)," ",""),'DM_NoiCongTac'!$C$2:$C$11)),1)),"Không tìm thấy"))</f>
        <v/>
      </c>
      <c r="AF363" s="5">
        <f>IF($V363="","",IFERROR(INDEX('DM_XaPhuong'!$B$2:$B$169,AGGREGATE(15,6,ROW('DM_XaPhuong'!$B$2:$B$169)-ROW('DM_XaPhuong'!$B$2)+1/ISNUMBER(SEARCH(SUBSTITUTE(UPPER($V363)," ",""),'DM_XaPhuong'!$C$2:$C$169)),1)),"Không tìm thấy"))</f>
        <v/>
      </c>
    </row>
    <row r="364">
      <c r="C364" s="5">
        <f>IF($B364="","",IFERROR(INDEX('DM_DoiTuong'!$B$2:$B$19,AGGREGATE(15,6,ROW('DM_DoiTuong'!$B$2:$B$19)-ROW('DM_DoiTuong'!$B$2)+1/ISNUMBER(SEARCH(SUBSTITUTE(UPPER($B364)," ",""),'DM_DoiTuong'!$C$2:$C$19)),1)),"Không tìm thấy"))</f>
        <v/>
      </c>
      <c r="E364" s="5">
        <f>IF($C364="","",IFERROR(INDEX('DM_DiaDiemKham'!$B$2:$B$6,AGGREGATE(15,6,ROW('DM_DiaDiemKham'!$B$2:$B$6)-ROW('DM_DiaDiemKham'!$B$2)+1/ISNUMBER(SEARCH(SUBSTITUTE(UPPER($C364)," ",""),'DM_DiaDiemKham'!$C$2:$C$6)),1)),"Không tìm thấy"))</f>
        <v/>
      </c>
      <c r="G364" s="5">
        <f>IF($D364="","",IFERROR(INDEX('DM_HinhThucChiTra'!$B$2:$B$5,AGGREGATE(15,6,ROW('DM_HinhThucChiTra'!$B$2:$B$5)-ROW('DM_HinhThucChiTra'!$B$2)+1/ISNUMBER(SEARCH(SUBSTITUTE(UPPER($D364)," ",""),'DM_HinhThucChiTra'!$C$2:$C$5)),1)),"Không tìm thấy"))</f>
        <v/>
      </c>
      <c r="I364" s="5">
        <f>IF($E364="","",IFERROR(INDEX('DM_HinhThucKham'!$B$2:$B$3,AGGREGATE(15,6,ROW('DM_HinhThucKham'!$B$2:$B$3)-ROW('DM_HinhThucKham'!$B$2)+1/ISNUMBER(SEARCH(SUBSTITUTE(UPPER($E364)," ",""),'DM_HinhThucKham'!$C$2:$C$3)),1)),"Không tìm thấy"))</f>
        <v/>
      </c>
      <c r="P364" s="5">
        <f>IF($K364="","",IFERROR(INDEX('DM_DanToc'!$B$2:$B$78,AGGREGATE(15,6,ROW('DM_DanToc'!$B$2:$B$78)-ROW('DM_DanToc'!$B$2)+1/ISNUMBER(SEARCH(SUBSTITUTE(UPPER($K364)," ",""),'DM_DanToc'!$C$2:$C$78)),1)),"Không tìm thấy"))</f>
        <v/>
      </c>
      <c r="W364" s="5">
        <f>IF($Q364="","",IFERROR(INDEX('DM_TinhThanh'!$B$2:$B$35,AGGREGATE(15,6,ROW('DM_TinhThanh'!$B$2:$B$35)-ROW('DM_TinhThanh'!$B$2)+1/ISNUMBER(SEARCH(SUBSTITUTE(UPPER($Q364)," ",""),'DM_TinhThanh'!$C$2:$C$35)),1)),"Không tìm thấy"))</f>
        <v/>
      </c>
      <c r="Y364" s="5">
        <f>IF($R364="","",IFERROR(INDEX('DM_XaPhuong'!$B$2:$B$169,AGGREGATE(15,6,ROW('DM_XaPhuong'!$B$2:$B$169)-ROW('DM_XaPhuong'!$B$2)+1/ISNUMBER(SEARCH(SUBSTITUTE(UPPER($R364)," ",""),'DM_XaPhuong'!$C$2:$C$169)),1)),"Không tìm thấy"))</f>
        <v/>
      </c>
      <c r="AB364" s="5">
        <f>IF($T364="","",IFERROR(INDEX('DM_NgheNghiep'!$B$2:$B$11,AGGREGATE(15,6,ROW('DM_NgheNghiep'!$B$2:$B$11)-ROW('DM_NgheNghiep'!$B$2)+1/ISNUMBER(SEARCH(SUBSTITUTE(UPPER($T364)," ",""),'DM_NgheNghiep'!$C$2:$C$11)),1)),"Không tìm thấy"))</f>
        <v/>
      </c>
      <c r="AD364" s="5">
        <f>IF($U364="","",IFERROR(INDEX('DM_NoiCongTac'!$B$2:$B$11,AGGREGATE(15,6,ROW('DM_NoiCongTac'!$B$2:$B$11)-ROW('DM_NoiCongTac'!$B$2)+1/ISNUMBER(SEARCH(SUBSTITUTE(UPPER($U364)," ",""),'DM_NoiCongTac'!$C$2:$C$11)),1)),"Không tìm thấy"))</f>
        <v/>
      </c>
      <c r="AF364" s="5">
        <f>IF($V364="","",IFERROR(INDEX('DM_XaPhuong'!$B$2:$B$169,AGGREGATE(15,6,ROW('DM_XaPhuong'!$B$2:$B$169)-ROW('DM_XaPhuong'!$B$2)+1/ISNUMBER(SEARCH(SUBSTITUTE(UPPER($V364)," ",""),'DM_XaPhuong'!$C$2:$C$169)),1)),"Không tìm thấy"))</f>
        <v/>
      </c>
    </row>
    <row r="365">
      <c r="C365" s="5">
        <f>IF($B365="","",IFERROR(INDEX('DM_DoiTuong'!$B$2:$B$19,AGGREGATE(15,6,ROW('DM_DoiTuong'!$B$2:$B$19)-ROW('DM_DoiTuong'!$B$2)+1/ISNUMBER(SEARCH(SUBSTITUTE(UPPER($B365)," ",""),'DM_DoiTuong'!$C$2:$C$19)),1)),"Không tìm thấy"))</f>
        <v/>
      </c>
      <c r="E365" s="5">
        <f>IF($C365="","",IFERROR(INDEX('DM_DiaDiemKham'!$B$2:$B$6,AGGREGATE(15,6,ROW('DM_DiaDiemKham'!$B$2:$B$6)-ROW('DM_DiaDiemKham'!$B$2)+1/ISNUMBER(SEARCH(SUBSTITUTE(UPPER($C365)," ",""),'DM_DiaDiemKham'!$C$2:$C$6)),1)),"Không tìm thấy"))</f>
        <v/>
      </c>
      <c r="G365" s="5">
        <f>IF($D365="","",IFERROR(INDEX('DM_HinhThucChiTra'!$B$2:$B$5,AGGREGATE(15,6,ROW('DM_HinhThucChiTra'!$B$2:$B$5)-ROW('DM_HinhThucChiTra'!$B$2)+1/ISNUMBER(SEARCH(SUBSTITUTE(UPPER($D365)," ",""),'DM_HinhThucChiTra'!$C$2:$C$5)),1)),"Không tìm thấy"))</f>
        <v/>
      </c>
      <c r="I365" s="5">
        <f>IF($E365="","",IFERROR(INDEX('DM_HinhThucKham'!$B$2:$B$3,AGGREGATE(15,6,ROW('DM_HinhThucKham'!$B$2:$B$3)-ROW('DM_HinhThucKham'!$B$2)+1/ISNUMBER(SEARCH(SUBSTITUTE(UPPER($E365)," ",""),'DM_HinhThucKham'!$C$2:$C$3)),1)),"Không tìm thấy"))</f>
        <v/>
      </c>
      <c r="P365" s="5">
        <f>IF($K365="","",IFERROR(INDEX('DM_DanToc'!$B$2:$B$78,AGGREGATE(15,6,ROW('DM_DanToc'!$B$2:$B$78)-ROW('DM_DanToc'!$B$2)+1/ISNUMBER(SEARCH(SUBSTITUTE(UPPER($K365)," ",""),'DM_DanToc'!$C$2:$C$78)),1)),"Không tìm thấy"))</f>
        <v/>
      </c>
      <c r="W365" s="5">
        <f>IF($Q365="","",IFERROR(INDEX('DM_TinhThanh'!$B$2:$B$35,AGGREGATE(15,6,ROW('DM_TinhThanh'!$B$2:$B$35)-ROW('DM_TinhThanh'!$B$2)+1/ISNUMBER(SEARCH(SUBSTITUTE(UPPER($Q365)," ",""),'DM_TinhThanh'!$C$2:$C$35)),1)),"Không tìm thấy"))</f>
        <v/>
      </c>
      <c r="Y365" s="5">
        <f>IF($R365="","",IFERROR(INDEX('DM_XaPhuong'!$B$2:$B$169,AGGREGATE(15,6,ROW('DM_XaPhuong'!$B$2:$B$169)-ROW('DM_XaPhuong'!$B$2)+1/ISNUMBER(SEARCH(SUBSTITUTE(UPPER($R365)," ",""),'DM_XaPhuong'!$C$2:$C$169)),1)),"Không tìm thấy"))</f>
        <v/>
      </c>
      <c r="AB365" s="5">
        <f>IF($T365="","",IFERROR(INDEX('DM_NgheNghiep'!$B$2:$B$11,AGGREGATE(15,6,ROW('DM_NgheNghiep'!$B$2:$B$11)-ROW('DM_NgheNghiep'!$B$2)+1/ISNUMBER(SEARCH(SUBSTITUTE(UPPER($T365)," ",""),'DM_NgheNghiep'!$C$2:$C$11)),1)),"Không tìm thấy"))</f>
        <v/>
      </c>
      <c r="AD365" s="5">
        <f>IF($U365="","",IFERROR(INDEX('DM_NoiCongTac'!$B$2:$B$11,AGGREGATE(15,6,ROW('DM_NoiCongTac'!$B$2:$B$11)-ROW('DM_NoiCongTac'!$B$2)+1/ISNUMBER(SEARCH(SUBSTITUTE(UPPER($U365)," ",""),'DM_NoiCongTac'!$C$2:$C$11)),1)),"Không tìm thấy"))</f>
        <v/>
      </c>
      <c r="AF365" s="5">
        <f>IF($V365="","",IFERROR(INDEX('DM_XaPhuong'!$B$2:$B$169,AGGREGATE(15,6,ROW('DM_XaPhuong'!$B$2:$B$169)-ROW('DM_XaPhuong'!$B$2)+1/ISNUMBER(SEARCH(SUBSTITUTE(UPPER($V365)," ",""),'DM_XaPhuong'!$C$2:$C$169)),1)),"Không tìm thấy"))</f>
        <v/>
      </c>
    </row>
    <row r="366">
      <c r="C366" s="5">
        <f>IF($B366="","",IFERROR(INDEX('DM_DoiTuong'!$B$2:$B$19,AGGREGATE(15,6,ROW('DM_DoiTuong'!$B$2:$B$19)-ROW('DM_DoiTuong'!$B$2)+1/ISNUMBER(SEARCH(SUBSTITUTE(UPPER($B366)," ",""),'DM_DoiTuong'!$C$2:$C$19)),1)),"Không tìm thấy"))</f>
        <v/>
      </c>
      <c r="E366" s="5">
        <f>IF($C366="","",IFERROR(INDEX('DM_DiaDiemKham'!$B$2:$B$6,AGGREGATE(15,6,ROW('DM_DiaDiemKham'!$B$2:$B$6)-ROW('DM_DiaDiemKham'!$B$2)+1/ISNUMBER(SEARCH(SUBSTITUTE(UPPER($C366)," ",""),'DM_DiaDiemKham'!$C$2:$C$6)),1)),"Không tìm thấy"))</f>
        <v/>
      </c>
      <c r="G366" s="5">
        <f>IF($D366="","",IFERROR(INDEX('DM_HinhThucChiTra'!$B$2:$B$5,AGGREGATE(15,6,ROW('DM_HinhThucChiTra'!$B$2:$B$5)-ROW('DM_HinhThucChiTra'!$B$2)+1/ISNUMBER(SEARCH(SUBSTITUTE(UPPER($D366)," ",""),'DM_HinhThucChiTra'!$C$2:$C$5)),1)),"Không tìm thấy"))</f>
        <v/>
      </c>
      <c r="I366" s="5">
        <f>IF($E366="","",IFERROR(INDEX('DM_HinhThucKham'!$B$2:$B$3,AGGREGATE(15,6,ROW('DM_HinhThucKham'!$B$2:$B$3)-ROW('DM_HinhThucKham'!$B$2)+1/ISNUMBER(SEARCH(SUBSTITUTE(UPPER($E366)," ",""),'DM_HinhThucKham'!$C$2:$C$3)),1)),"Không tìm thấy"))</f>
        <v/>
      </c>
      <c r="P366" s="5">
        <f>IF($K366="","",IFERROR(INDEX('DM_DanToc'!$B$2:$B$78,AGGREGATE(15,6,ROW('DM_DanToc'!$B$2:$B$78)-ROW('DM_DanToc'!$B$2)+1/ISNUMBER(SEARCH(SUBSTITUTE(UPPER($K366)," ",""),'DM_DanToc'!$C$2:$C$78)),1)),"Không tìm thấy"))</f>
        <v/>
      </c>
      <c r="W366" s="5">
        <f>IF($Q366="","",IFERROR(INDEX('DM_TinhThanh'!$B$2:$B$35,AGGREGATE(15,6,ROW('DM_TinhThanh'!$B$2:$B$35)-ROW('DM_TinhThanh'!$B$2)+1/ISNUMBER(SEARCH(SUBSTITUTE(UPPER($Q366)," ",""),'DM_TinhThanh'!$C$2:$C$35)),1)),"Không tìm thấy"))</f>
        <v/>
      </c>
      <c r="Y366" s="5">
        <f>IF($R366="","",IFERROR(INDEX('DM_XaPhuong'!$B$2:$B$169,AGGREGATE(15,6,ROW('DM_XaPhuong'!$B$2:$B$169)-ROW('DM_XaPhuong'!$B$2)+1/ISNUMBER(SEARCH(SUBSTITUTE(UPPER($R366)," ",""),'DM_XaPhuong'!$C$2:$C$169)),1)),"Không tìm thấy"))</f>
        <v/>
      </c>
      <c r="AB366" s="5">
        <f>IF($T366="","",IFERROR(INDEX('DM_NgheNghiep'!$B$2:$B$11,AGGREGATE(15,6,ROW('DM_NgheNghiep'!$B$2:$B$11)-ROW('DM_NgheNghiep'!$B$2)+1/ISNUMBER(SEARCH(SUBSTITUTE(UPPER($T366)," ",""),'DM_NgheNghiep'!$C$2:$C$11)),1)),"Không tìm thấy"))</f>
        <v/>
      </c>
      <c r="AD366" s="5">
        <f>IF($U366="","",IFERROR(INDEX('DM_NoiCongTac'!$B$2:$B$11,AGGREGATE(15,6,ROW('DM_NoiCongTac'!$B$2:$B$11)-ROW('DM_NoiCongTac'!$B$2)+1/ISNUMBER(SEARCH(SUBSTITUTE(UPPER($U366)," ",""),'DM_NoiCongTac'!$C$2:$C$11)),1)),"Không tìm thấy"))</f>
        <v/>
      </c>
      <c r="AF366" s="5">
        <f>IF($V366="","",IFERROR(INDEX('DM_XaPhuong'!$B$2:$B$169,AGGREGATE(15,6,ROW('DM_XaPhuong'!$B$2:$B$169)-ROW('DM_XaPhuong'!$B$2)+1/ISNUMBER(SEARCH(SUBSTITUTE(UPPER($V366)," ",""),'DM_XaPhuong'!$C$2:$C$169)),1)),"Không tìm thấy"))</f>
        <v/>
      </c>
    </row>
    <row r="367">
      <c r="C367" s="5">
        <f>IF($B367="","",IFERROR(INDEX('DM_DoiTuong'!$B$2:$B$19,AGGREGATE(15,6,ROW('DM_DoiTuong'!$B$2:$B$19)-ROW('DM_DoiTuong'!$B$2)+1/ISNUMBER(SEARCH(SUBSTITUTE(UPPER($B367)," ",""),'DM_DoiTuong'!$C$2:$C$19)),1)),"Không tìm thấy"))</f>
        <v/>
      </c>
      <c r="E367" s="5">
        <f>IF($C367="","",IFERROR(INDEX('DM_DiaDiemKham'!$B$2:$B$6,AGGREGATE(15,6,ROW('DM_DiaDiemKham'!$B$2:$B$6)-ROW('DM_DiaDiemKham'!$B$2)+1/ISNUMBER(SEARCH(SUBSTITUTE(UPPER($C367)," ",""),'DM_DiaDiemKham'!$C$2:$C$6)),1)),"Không tìm thấy"))</f>
        <v/>
      </c>
      <c r="G367" s="5">
        <f>IF($D367="","",IFERROR(INDEX('DM_HinhThucChiTra'!$B$2:$B$5,AGGREGATE(15,6,ROW('DM_HinhThucChiTra'!$B$2:$B$5)-ROW('DM_HinhThucChiTra'!$B$2)+1/ISNUMBER(SEARCH(SUBSTITUTE(UPPER($D367)," ",""),'DM_HinhThucChiTra'!$C$2:$C$5)),1)),"Không tìm thấy"))</f>
        <v/>
      </c>
      <c r="I367" s="5">
        <f>IF($E367="","",IFERROR(INDEX('DM_HinhThucKham'!$B$2:$B$3,AGGREGATE(15,6,ROW('DM_HinhThucKham'!$B$2:$B$3)-ROW('DM_HinhThucKham'!$B$2)+1/ISNUMBER(SEARCH(SUBSTITUTE(UPPER($E367)," ",""),'DM_HinhThucKham'!$C$2:$C$3)),1)),"Không tìm thấy"))</f>
        <v/>
      </c>
      <c r="P367" s="5">
        <f>IF($K367="","",IFERROR(INDEX('DM_DanToc'!$B$2:$B$78,AGGREGATE(15,6,ROW('DM_DanToc'!$B$2:$B$78)-ROW('DM_DanToc'!$B$2)+1/ISNUMBER(SEARCH(SUBSTITUTE(UPPER($K367)," ",""),'DM_DanToc'!$C$2:$C$78)),1)),"Không tìm thấy"))</f>
        <v/>
      </c>
      <c r="W367" s="5">
        <f>IF($Q367="","",IFERROR(INDEX('DM_TinhThanh'!$B$2:$B$35,AGGREGATE(15,6,ROW('DM_TinhThanh'!$B$2:$B$35)-ROW('DM_TinhThanh'!$B$2)+1/ISNUMBER(SEARCH(SUBSTITUTE(UPPER($Q367)," ",""),'DM_TinhThanh'!$C$2:$C$35)),1)),"Không tìm thấy"))</f>
        <v/>
      </c>
      <c r="Y367" s="5">
        <f>IF($R367="","",IFERROR(INDEX('DM_XaPhuong'!$B$2:$B$169,AGGREGATE(15,6,ROW('DM_XaPhuong'!$B$2:$B$169)-ROW('DM_XaPhuong'!$B$2)+1/ISNUMBER(SEARCH(SUBSTITUTE(UPPER($R367)," ",""),'DM_XaPhuong'!$C$2:$C$169)),1)),"Không tìm thấy"))</f>
        <v/>
      </c>
      <c r="AB367" s="5">
        <f>IF($T367="","",IFERROR(INDEX('DM_NgheNghiep'!$B$2:$B$11,AGGREGATE(15,6,ROW('DM_NgheNghiep'!$B$2:$B$11)-ROW('DM_NgheNghiep'!$B$2)+1/ISNUMBER(SEARCH(SUBSTITUTE(UPPER($T367)," ",""),'DM_NgheNghiep'!$C$2:$C$11)),1)),"Không tìm thấy"))</f>
        <v/>
      </c>
      <c r="AD367" s="5">
        <f>IF($U367="","",IFERROR(INDEX('DM_NoiCongTac'!$B$2:$B$11,AGGREGATE(15,6,ROW('DM_NoiCongTac'!$B$2:$B$11)-ROW('DM_NoiCongTac'!$B$2)+1/ISNUMBER(SEARCH(SUBSTITUTE(UPPER($U367)," ",""),'DM_NoiCongTac'!$C$2:$C$11)),1)),"Không tìm thấy"))</f>
        <v/>
      </c>
      <c r="AF367" s="5">
        <f>IF($V367="","",IFERROR(INDEX('DM_XaPhuong'!$B$2:$B$169,AGGREGATE(15,6,ROW('DM_XaPhuong'!$B$2:$B$169)-ROW('DM_XaPhuong'!$B$2)+1/ISNUMBER(SEARCH(SUBSTITUTE(UPPER($V367)," ",""),'DM_XaPhuong'!$C$2:$C$169)),1)),"Không tìm thấy"))</f>
        <v/>
      </c>
    </row>
    <row r="368">
      <c r="C368" s="5">
        <f>IF($B368="","",IFERROR(INDEX('DM_DoiTuong'!$B$2:$B$19,AGGREGATE(15,6,ROW('DM_DoiTuong'!$B$2:$B$19)-ROW('DM_DoiTuong'!$B$2)+1/ISNUMBER(SEARCH(SUBSTITUTE(UPPER($B368)," ",""),'DM_DoiTuong'!$C$2:$C$19)),1)),"Không tìm thấy"))</f>
        <v/>
      </c>
      <c r="E368" s="5">
        <f>IF($C368="","",IFERROR(INDEX('DM_DiaDiemKham'!$B$2:$B$6,AGGREGATE(15,6,ROW('DM_DiaDiemKham'!$B$2:$B$6)-ROW('DM_DiaDiemKham'!$B$2)+1/ISNUMBER(SEARCH(SUBSTITUTE(UPPER($C368)," ",""),'DM_DiaDiemKham'!$C$2:$C$6)),1)),"Không tìm thấy"))</f>
        <v/>
      </c>
      <c r="G368" s="5">
        <f>IF($D368="","",IFERROR(INDEX('DM_HinhThucChiTra'!$B$2:$B$5,AGGREGATE(15,6,ROW('DM_HinhThucChiTra'!$B$2:$B$5)-ROW('DM_HinhThucChiTra'!$B$2)+1/ISNUMBER(SEARCH(SUBSTITUTE(UPPER($D368)," ",""),'DM_HinhThucChiTra'!$C$2:$C$5)),1)),"Không tìm thấy"))</f>
        <v/>
      </c>
      <c r="I368" s="5">
        <f>IF($E368="","",IFERROR(INDEX('DM_HinhThucKham'!$B$2:$B$3,AGGREGATE(15,6,ROW('DM_HinhThucKham'!$B$2:$B$3)-ROW('DM_HinhThucKham'!$B$2)+1/ISNUMBER(SEARCH(SUBSTITUTE(UPPER($E368)," ",""),'DM_HinhThucKham'!$C$2:$C$3)),1)),"Không tìm thấy"))</f>
        <v/>
      </c>
      <c r="P368" s="5">
        <f>IF($K368="","",IFERROR(INDEX('DM_DanToc'!$B$2:$B$78,AGGREGATE(15,6,ROW('DM_DanToc'!$B$2:$B$78)-ROW('DM_DanToc'!$B$2)+1/ISNUMBER(SEARCH(SUBSTITUTE(UPPER($K368)," ",""),'DM_DanToc'!$C$2:$C$78)),1)),"Không tìm thấy"))</f>
        <v/>
      </c>
      <c r="W368" s="5">
        <f>IF($Q368="","",IFERROR(INDEX('DM_TinhThanh'!$B$2:$B$35,AGGREGATE(15,6,ROW('DM_TinhThanh'!$B$2:$B$35)-ROW('DM_TinhThanh'!$B$2)+1/ISNUMBER(SEARCH(SUBSTITUTE(UPPER($Q368)," ",""),'DM_TinhThanh'!$C$2:$C$35)),1)),"Không tìm thấy"))</f>
        <v/>
      </c>
      <c r="Y368" s="5">
        <f>IF($R368="","",IFERROR(INDEX('DM_XaPhuong'!$B$2:$B$169,AGGREGATE(15,6,ROW('DM_XaPhuong'!$B$2:$B$169)-ROW('DM_XaPhuong'!$B$2)+1/ISNUMBER(SEARCH(SUBSTITUTE(UPPER($R368)," ",""),'DM_XaPhuong'!$C$2:$C$169)),1)),"Không tìm thấy"))</f>
        <v/>
      </c>
      <c r="AB368" s="5">
        <f>IF($T368="","",IFERROR(INDEX('DM_NgheNghiep'!$B$2:$B$11,AGGREGATE(15,6,ROW('DM_NgheNghiep'!$B$2:$B$11)-ROW('DM_NgheNghiep'!$B$2)+1/ISNUMBER(SEARCH(SUBSTITUTE(UPPER($T368)," ",""),'DM_NgheNghiep'!$C$2:$C$11)),1)),"Không tìm thấy"))</f>
        <v/>
      </c>
      <c r="AD368" s="5">
        <f>IF($U368="","",IFERROR(INDEX('DM_NoiCongTac'!$B$2:$B$11,AGGREGATE(15,6,ROW('DM_NoiCongTac'!$B$2:$B$11)-ROW('DM_NoiCongTac'!$B$2)+1/ISNUMBER(SEARCH(SUBSTITUTE(UPPER($U368)," ",""),'DM_NoiCongTac'!$C$2:$C$11)),1)),"Không tìm thấy"))</f>
        <v/>
      </c>
      <c r="AF368" s="5">
        <f>IF($V368="","",IFERROR(INDEX('DM_XaPhuong'!$B$2:$B$169,AGGREGATE(15,6,ROW('DM_XaPhuong'!$B$2:$B$169)-ROW('DM_XaPhuong'!$B$2)+1/ISNUMBER(SEARCH(SUBSTITUTE(UPPER($V368)," ",""),'DM_XaPhuong'!$C$2:$C$169)),1)),"Không tìm thấy"))</f>
        <v/>
      </c>
    </row>
    <row r="369">
      <c r="C369" s="5">
        <f>IF($B369="","",IFERROR(INDEX('DM_DoiTuong'!$B$2:$B$19,AGGREGATE(15,6,ROW('DM_DoiTuong'!$B$2:$B$19)-ROW('DM_DoiTuong'!$B$2)+1/ISNUMBER(SEARCH(SUBSTITUTE(UPPER($B369)," ",""),'DM_DoiTuong'!$C$2:$C$19)),1)),"Không tìm thấy"))</f>
        <v/>
      </c>
      <c r="E369" s="5">
        <f>IF($C369="","",IFERROR(INDEX('DM_DiaDiemKham'!$B$2:$B$6,AGGREGATE(15,6,ROW('DM_DiaDiemKham'!$B$2:$B$6)-ROW('DM_DiaDiemKham'!$B$2)+1/ISNUMBER(SEARCH(SUBSTITUTE(UPPER($C369)," ",""),'DM_DiaDiemKham'!$C$2:$C$6)),1)),"Không tìm thấy"))</f>
        <v/>
      </c>
      <c r="G369" s="5">
        <f>IF($D369="","",IFERROR(INDEX('DM_HinhThucChiTra'!$B$2:$B$5,AGGREGATE(15,6,ROW('DM_HinhThucChiTra'!$B$2:$B$5)-ROW('DM_HinhThucChiTra'!$B$2)+1/ISNUMBER(SEARCH(SUBSTITUTE(UPPER($D369)," ",""),'DM_HinhThucChiTra'!$C$2:$C$5)),1)),"Không tìm thấy"))</f>
        <v/>
      </c>
      <c r="I369" s="5">
        <f>IF($E369="","",IFERROR(INDEX('DM_HinhThucKham'!$B$2:$B$3,AGGREGATE(15,6,ROW('DM_HinhThucKham'!$B$2:$B$3)-ROW('DM_HinhThucKham'!$B$2)+1/ISNUMBER(SEARCH(SUBSTITUTE(UPPER($E369)," ",""),'DM_HinhThucKham'!$C$2:$C$3)),1)),"Không tìm thấy"))</f>
        <v/>
      </c>
      <c r="P369" s="5">
        <f>IF($K369="","",IFERROR(INDEX('DM_DanToc'!$B$2:$B$78,AGGREGATE(15,6,ROW('DM_DanToc'!$B$2:$B$78)-ROW('DM_DanToc'!$B$2)+1/ISNUMBER(SEARCH(SUBSTITUTE(UPPER($K369)," ",""),'DM_DanToc'!$C$2:$C$78)),1)),"Không tìm thấy"))</f>
        <v/>
      </c>
      <c r="W369" s="5">
        <f>IF($Q369="","",IFERROR(INDEX('DM_TinhThanh'!$B$2:$B$35,AGGREGATE(15,6,ROW('DM_TinhThanh'!$B$2:$B$35)-ROW('DM_TinhThanh'!$B$2)+1/ISNUMBER(SEARCH(SUBSTITUTE(UPPER($Q369)," ",""),'DM_TinhThanh'!$C$2:$C$35)),1)),"Không tìm thấy"))</f>
        <v/>
      </c>
      <c r="Y369" s="5">
        <f>IF($R369="","",IFERROR(INDEX('DM_XaPhuong'!$B$2:$B$169,AGGREGATE(15,6,ROW('DM_XaPhuong'!$B$2:$B$169)-ROW('DM_XaPhuong'!$B$2)+1/ISNUMBER(SEARCH(SUBSTITUTE(UPPER($R369)," ",""),'DM_XaPhuong'!$C$2:$C$169)),1)),"Không tìm thấy"))</f>
        <v/>
      </c>
      <c r="AB369" s="5">
        <f>IF($T369="","",IFERROR(INDEX('DM_NgheNghiep'!$B$2:$B$11,AGGREGATE(15,6,ROW('DM_NgheNghiep'!$B$2:$B$11)-ROW('DM_NgheNghiep'!$B$2)+1/ISNUMBER(SEARCH(SUBSTITUTE(UPPER($T369)," ",""),'DM_NgheNghiep'!$C$2:$C$11)),1)),"Không tìm thấy"))</f>
        <v/>
      </c>
      <c r="AD369" s="5">
        <f>IF($U369="","",IFERROR(INDEX('DM_NoiCongTac'!$B$2:$B$11,AGGREGATE(15,6,ROW('DM_NoiCongTac'!$B$2:$B$11)-ROW('DM_NoiCongTac'!$B$2)+1/ISNUMBER(SEARCH(SUBSTITUTE(UPPER($U369)," ",""),'DM_NoiCongTac'!$C$2:$C$11)),1)),"Không tìm thấy"))</f>
        <v/>
      </c>
      <c r="AF369" s="5">
        <f>IF($V369="","",IFERROR(INDEX('DM_XaPhuong'!$B$2:$B$169,AGGREGATE(15,6,ROW('DM_XaPhuong'!$B$2:$B$169)-ROW('DM_XaPhuong'!$B$2)+1/ISNUMBER(SEARCH(SUBSTITUTE(UPPER($V369)," ",""),'DM_XaPhuong'!$C$2:$C$169)),1)),"Không tìm thấy"))</f>
        <v/>
      </c>
    </row>
    <row r="370">
      <c r="C370" s="5">
        <f>IF($B370="","",IFERROR(INDEX('DM_DoiTuong'!$B$2:$B$19,AGGREGATE(15,6,ROW('DM_DoiTuong'!$B$2:$B$19)-ROW('DM_DoiTuong'!$B$2)+1/ISNUMBER(SEARCH(SUBSTITUTE(UPPER($B370)," ",""),'DM_DoiTuong'!$C$2:$C$19)),1)),"Không tìm thấy"))</f>
        <v/>
      </c>
      <c r="E370" s="5">
        <f>IF($C370="","",IFERROR(INDEX('DM_DiaDiemKham'!$B$2:$B$6,AGGREGATE(15,6,ROW('DM_DiaDiemKham'!$B$2:$B$6)-ROW('DM_DiaDiemKham'!$B$2)+1/ISNUMBER(SEARCH(SUBSTITUTE(UPPER($C370)," ",""),'DM_DiaDiemKham'!$C$2:$C$6)),1)),"Không tìm thấy"))</f>
        <v/>
      </c>
      <c r="G370" s="5">
        <f>IF($D370="","",IFERROR(INDEX('DM_HinhThucChiTra'!$B$2:$B$5,AGGREGATE(15,6,ROW('DM_HinhThucChiTra'!$B$2:$B$5)-ROW('DM_HinhThucChiTra'!$B$2)+1/ISNUMBER(SEARCH(SUBSTITUTE(UPPER($D370)," ",""),'DM_HinhThucChiTra'!$C$2:$C$5)),1)),"Không tìm thấy"))</f>
        <v/>
      </c>
      <c r="I370" s="5">
        <f>IF($E370="","",IFERROR(INDEX('DM_HinhThucKham'!$B$2:$B$3,AGGREGATE(15,6,ROW('DM_HinhThucKham'!$B$2:$B$3)-ROW('DM_HinhThucKham'!$B$2)+1/ISNUMBER(SEARCH(SUBSTITUTE(UPPER($E370)," ",""),'DM_HinhThucKham'!$C$2:$C$3)),1)),"Không tìm thấy"))</f>
        <v/>
      </c>
      <c r="P370" s="5">
        <f>IF($K370="","",IFERROR(INDEX('DM_DanToc'!$B$2:$B$78,AGGREGATE(15,6,ROW('DM_DanToc'!$B$2:$B$78)-ROW('DM_DanToc'!$B$2)+1/ISNUMBER(SEARCH(SUBSTITUTE(UPPER($K370)," ",""),'DM_DanToc'!$C$2:$C$78)),1)),"Không tìm thấy"))</f>
        <v/>
      </c>
      <c r="W370" s="5">
        <f>IF($Q370="","",IFERROR(INDEX('DM_TinhThanh'!$B$2:$B$35,AGGREGATE(15,6,ROW('DM_TinhThanh'!$B$2:$B$35)-ROW('DM_TinhThanh'!$B$2)+1/ISNUMBER(SEARCH(SUBSTITUTE(UPPER($Q370)," ",""),'DM_TinhThanh'!$C$2:$C$35)),1)),"Không tìm thấy"))</f>
        <v/>
      </c>
      <c r="Y370" s="5">
        <f>IF($R370="","",IFERROR(INDEX('DM_XaPhuong'!$B$2:$B$169,AGGREGATE(15,6,ROW('DM_XaPhuong'!$B$2:$B$169)-ROW('DM_XaPhuong'!$B$2)+1/ISNUMBER(SEARCH(SUBSTITUTE(UPPER($R370)," ",""),'DM_XaPhuong'!$C$2:$C$169)),1)),"Không tìm thấy"))</f>
        <v/>
      </c>
      <c r="AB370" s="5">
        <f>IF($T370="","",IFERROR(INDEX('DM_NgheNghiep'!$B$2:$B$11,AGGREGATE(15,6,ROW('DM_NgheNghiep'!$B$2:$B$11)-ROW('DM_NgheNghiep'!$B$2)+1/ISNUMBER(SEARCH(SUBSTITUTE(UPPER($T370)," ",""),'DM_NgheNghiep'!$C$2:$C$11)),1)),"Không tìm thấy"))</f>
        <v/>
      </c>
      <c r="AD370" s="5">
        <f>IF($U370="","",IFERROR(INDEX('DM_NoiCongTac'!$B$2:$B$11,AGGREGATE(15,6,ROW('DM_NoiCongTac'!$B$2:$B$11)-ROW('DM_NoiCongTac'!$B$2)+1/ISNUMBER(SEARCH(SUBSTITUTE(UPPER($U370)," ",""),'DM_NoiCongTac'!$C$2:$C$11)),1)),"Không tìm thấy"))</f>
        <v/>
      </c>
      <c r="AF370" s="5">
        <f>IF($V370="","",IFERROR(INDEX('DM_XaPhuong'!$B$2:$B$169,AGGREGATE(15,6,ROW('DM_XaPhuong'!$B$2:$B$169)-ROW('DM_XaPhuong'!$B$2)+1/ISNUMBER(SEARCH(SUBSTITUTE(UPPER($V370)," ",""),'DM_XaPhuong'!$C$2:$C$169)),1)),"Không tìm thấy"))</f>
        <v/>
      </c>
    </row>
    <row r="371">
      <c r="C371" s="5">
        <f>IF($B371="","",IFERROR(INDEX('DM_DoiTuong'!$B$2:$B$19,AGGREGATE(15,6,ROW('DM_DoiTuong'!$B$2:$B$19)-ROW('DM_DoiTuong'!$B$2)+1/ISNUMBER(SEARCH(SUBSTITUTE(UPPER($B371)," ",""),'DM_DoiTuong'!$C$2:$C$19)),1)),"Không tìm thấy"))</f>
        <v/>
      </c>
      <c r="E371" s="5">
        <f>IF($C371="","",IFERROR(INDEX('DM_DiaDiemKham'!$B$2:$B$6,AGGREGATE(15,6,ROW('DM_DiaDiemKham'!$B$2:$B$6)-ROW('DM_DiaDiemKham'!$B$2)+1/ISNUMBER(SEARCH(SUBSTITUTE(UPPER($C371)," ",""),'DM_DiaDiemKham'!$C$2:$C$6)),1)),"Không tìm thấy"))</f>
        <v/>
      </c>
      <c r="G371" s="5">
        <f>IF($D371="","",IFERROR(INDEX('DM_HinhThucChiTra'!$B$2:$B$5,AGGREGATE(15,6,ROW('DM_HinhThucChiTra'!$B$2:$B$5)-ROW('DM_HinhThucChiTra'!$B$2)+1/ISNUMBER(SEARCH(SUBSTITUTE(UPPER($D371)," ",""),'DM_HinhThucChiTra'!$C$2:$C$5)),1)),"Không tìm thấy"))</f>
        <v/>
      </c>
      <c r="I371" s="5">
        <f>IF($E371="","",IFERROR(INDEX('DM_HinhThucKham'!$B$2:$B$3,AGGREGATE(15,6,ROW('DM_HinhThucKham'!$B$2:$B$3)-ROW('DM_HinhThucKham'!$B$2)+1/ISNUMBER(SEARCH(SUBSTITUTE(UPPER($E371)," ",""),'DM_HinhThucKham'!$C$2:$C$3)),1)),"Không tìm thấy"))</f>
        <v/>
      </c>
      <c r="P371" s="5">
        <f>IF($K371="","",IFERROR(INDEX('DM_DanToc'!$B$2:$B$78,AGGREGATE(15,6,ROW('DM_DanToc'!$B$2:$B$78)-ROW('DM_DanToc'!$B$2)+1/ISNUMBER(SEARCH(SUBSTITUTE(UPPER($K371)," ",""),'DM_DanToc'!$C$2:$C$78)),1)),"Không tìm thấy"))</f>
        <v/>
      </c>
      <c r="W371" s="5">
        <f>IF($Q371="","",IFERROR(INDEX('DM_TinhThanh'!$B$2:$B$35,AGGREGATE(15,6,ROW('DM_TinhThanh'!$B$2:$B$35)-ROW('DM_TinhThanh'!$B$2)+1/ISNUMBER(SEARCH(SUBSTITUTE(UPPER($Q371)," ",""),'DM_TinhThanh'!$C$2:$C$35)),1)),"Không tìm thấy"))</f>
        <v/>
      </c>
      <c r="Y371" s="5">
        <f>IF($R371="","",IFERROR(INDEX('DM_XaPhuong'!$B$2:$B$169,AGGREGATE(15,6,ROW('DM_XaPhuong'!$B$2:$B$169)-ROW('DM_XaPhuong'!$B$2)+1/ISNUMBER(SEARCH(SUBSTITUTE(UPPER($R371)," ",""),'DM_XaPhuong'!$C$2:$C$169)),1)),"Không tìm thấy"))</f>
        <v/>
      </c>
      <c r="AB371" s="5">
        <f>IF($T371="","",IFERROR(INDEX('DM_NgheNghiep'!$B$2:$B$11,AGGREGATE(15,6,ROW('DM_NgheNghiep'!$B$2:$B$11)-ROW('DM_NgheNghiep'!$B$2)+1/ISNUMBER(SEARCH(SUBSTITUTE(UPPER($T371)," ",""),'DM_NgheNghiep'!$C$2:$C$11)),1)),"Không tìm thấy"))</f>
        <v/>
      </c>
      <c r="AD371" s="5">
        <f>IF($U371="","",IFERROR(INDEX('DM_NoiCongTac'!$B$2:$B$11,AGGREGATE(15,6,ROW('DM_NoiCongTac'!$B$2:$B$11)-ROW('DM_NoiCongTac'!$B$2)+1/ISNUMBER(SEARCH(SUBSTITUTE(UPPER($U371)," ",""),'DM_NoiCongTac'!$C$2:$C$11)),1)),"Không tìm thấy"))</f>
        <v/>
      </c>
      <c r="AF371" s="5">
        <f>IF($V371="","",IFERROR(INDEX('DM_XaPhuong'!$B$2:$B$169,AGGREGATE(15,6,ROW('DM_XaPhuong'!$B$2:$B$169)-ROW('DM_XaPhuong'!$B$2)+1/ISNUMBER(SEARCH(SUBSTITUTE(UPPER($V371)," ",""),'DM_XaPhuong'!$C$2:$C$169)),1)),"Không tìm thấy"))</f>
        <v/>
      </c>
    </row>
    <row r="372">
      <c r="C372" s="5">
        <f>IF($B372="","",IFERROR(INDEX('DM_DoiTuong'!$B$2:$B$19,AGGREGATE(15,6,ROW('DM_DoiTuong'!$B$2:$B$19)-ROW('DM_DoiTuong'!$B$2)+1/ISNUMBER(SEARCH(SUBSTITUTE(UPPER($B372)," ",""),'DM_DoiTuong'!$C$2:$C$19)),1)),"Không tìm thấy"))</f>
        <v/>
      </c>
      <c r="E372" s="5">
        <f>IF($C372="","",IFERROR(INDEX('DM_DiaDiemKham'!$B$2:$B$6,AGGREGATE(15,6,ROW('DM_DiaDiemKham'!$B$2:$B$6)-ROW('DM_DiaDiemKham'!$B$2)+1/ISNUMBER(SEARCH(SUBSTITUTE(UPPER($C372)," ",""),'DM_DiaDiemKham'!$C$2:$C$6)),1)),"Không tìm thấy"))</f>
        <v/>
      </c>
      <c r="G372" s="5">
        <f>IF($D372="","",IFERROR(INDEX('DM_HinhThucChiTra'!$B$2:$B$5,AGGREGATE(15,6,ROW('DM_HinhThucChiTra'!$B$2:$B$5)-ROW('DM_HinhThucChiTra'!$B$2)+1/ISNUMBER(SEARCH(SUBSTITUTE(UPPER($D372)," ",""),'DM_HinhThucChiTra'!$C$2:$C$5)),1)),"Không tìm thấy"))</f>
        <v/>
      </c>
      <c r="I372" s="5">
        <f>IF($E372="","",IFERROR(INDEX('DM_HinhThucKham'!$B$2:$B$3,AGGREGATE(15,6,ROW('DM_HinhThucKham'!$B$2:$B$3)-ROW('DM_HinhThucKham'!$B$2)+1/ISNUMBER(SEARCH(SUBSTITUTE(UPPER($E372)," ",""),'DM_HinhThucKham'!$C$2:$C$3)),1)),"Không tìm thấy"))</f>
        <v/>
      </c>
      <c r="P372" s="5">
        <f>IF($K372="","",IFERROR(INDEX('DM_DanToc'!$B$2:$B$78,AGGREGATE(15,6,ROW('DM_DanToc'!$B$2:$B$78)-ROW('DM_DanToc'!$B$2)+1/ISNUMBER(SEARCH(SUBSTITUTE(UPPER($K372)," ",""),'DM_DanToc'!$C$2:$C$78)),1)),"Không tìm thấy"))</f>
        <v/>
      </c>
      <c r="W372" s="5">
        <f>IF($Q372="","",IFERROR(INDEX('DM_TinhThanh'!$B$2:$B$35,AGGREGATE(15,6,ROW('DM_TinhThanh'!$B$2:$B$35)-ROW('DM_TinhThanh'!$B$2)+1/ISNUMBER(SEARCH(SUBSTITUTE(UPPER($Q372)," ",""),'DM_TinhThanh'!$C$2:$C$35)),1)),"Không tìm thấy"))</f>
        <v/>
      </c>
      <c r="Y372" s="5">
        <f>IF($R372="","",IFERROR(INDEX('DM_XaPhuong'!$B$2:$B$169,AGGREGATE(15,6,ROW('DM_XaPhuong'!$B$2:$B$169)-ROW('DM_XaPhuong'!$B$2)+1/ISNUMBER(SEARCH(SUBSTITUTE(UPPER($R372)," ",""),'DM_XaPhuong'!$C$2:$C$169)),1)),"Không tìm thấy"))</f>
        <v/>
      </c>
      <c r="AB372" s="5">
        <f>IF($T372="","",IFERROR(INDEX('DM_NgheNghiep'!$B$2:$B$11,AGGREGATE(15,6,ROW('DM_NgheNghiep'!$B$2:$B$11)-ROW('DM_NgheNghiep'!$B$2)+1/ISNUMBER(SEARCH(SUBSTITUTE(UPPER($T372)," ",""),'DM_NgheNghiep'!$C$2:$C$11)),1)),"Không tìm thấy"))</f>
        <v/>
      </c>
      <c r="AD372" s="5">
        <f>IF($U372="","",IFERROR(INDEX('DM_NoiCongTac'!$B$2:$B$11,AGGREGATE(15,6,ROW('DM_NoiCongTac'!$B$2:$B$11)-ROW('DM_NoiCongTac'!$B$2)+1/ISNUMBER(SEARCH(SUBSTITUTE(UPPER($U372)," ",""),'DM_NoiCongTac'!$C$2:$C$11)),1)),"Không tìm thấy"))</f>
        <v/>
      </c>
      <c r="AF372" s="5">
        <f>IF($V372="","",IFERROR(INDEX('DM_XaPhuong'!$B$2:$B$169,AGGREGATE(15,6,ROW('DM_XaPhuong'!$B$2:$B$169)-ROW('DM_XaPhuong'!$B$2)+1/ISNUMBER(SEARCH(SUBSTITUTE(UPPER($V372)," ",""),'DM_XaPhuong'!$C$2:$C$169)),1)),"Không tìm thấy"))</f>
        <v/>
      </c>
    </row>
    <row r="373">
      <c r="C373" s="5">
        <f>IF($B373="","",IFERROR(INDEX('DM_DoiTuong'!$B$2:$B$19,AGGREGATE(15,6,ROW('DM_DoiTuong'!$B$2:$B$19)-ROW('DM_DoiTuong'!$B$2)+1/ISNUMBER(SEARCH(SUBSTITUTE(UPPER($B373)," ",""),'DM_DoiTuong'!$C$2:$C$19)),1)),"Không tìm thấy"))</f>
        <v/>
      </c>
      <c r="E373" s="5">
        <f>IF($C373="","",IFERROR(INDEX('DM_DiaDiemKham'!$B$2:$B$6,AGGREGATE(15,6,ROW('DM_DiaDiemKham'!$B$2:$B$6)-ROW('DM_DiaDiemKham'!$B$2)+1/ISNUMBER(SEARCH(SUBSTITUTE(UPPER($C373)," ",""),'DM_DiaDiemKham'!$C$2:$C$6)),1)),"Không tìm thấy"))</f>
        <v/>
      </c>
      <c r="G373" s="5">
        <f>IF($D373="","",IFERROR(INDEX('DM_HinhThucChiTra'!$B$2:$B$5,AGGREGATE(15,6,ROW('DM_HinhThucChiTra'!$B$2:$B$5)-ROW('DM_HinhThucChiTra'!$B$2)+1/ISNUMBER(SEARCH(SUBSTITUTE(UPPER($D373)," ",""),'DM_HinhThucChiTra'!$C$2:$C$5)),1)),"Không tìm thấy"))</f>
        <v/>
      </c>
      <c r="I373" s="5">
        <f>IF($E373="","",IFERROR(INDEX('DM_HinhThucKham'!$B$2:$B$3,AGGREGATE(15,6,ROW('DM_HinhThucKham'!$B$2:$B$3)-ROW('DM_HinhThucKham'!$B$2)+1/ISNUMBER(SEARCH(SUBSTITUTE(UPPER($E373)," ",""),'DM_HinhThucKham'!$C$2:$C$3)),1)),"Không tìm thấy"))</f>
        <v/>
      </c>
      <c r="P373" s="5">
        <f>IF($K373="","",IFERROR(INDEX('DM_DanToc'!$B$2:$B$78,AGGREGATE(15,6,ROW('DM_DanToc'!$B$2:$B$78)-ROW('DM_DanToc'!$B$2)+1/ISNUMBER(SEARCH(SUBSTITUTE(UPPER($K373)," ",""),'DM_DanToc'!$C$2:$C$78)),1)),"Không tìm thấy"))</f>
        <v/>
      </c>
      <c r="W373" s="5">
        <f>IF($Q373="","",IFERROR(INDEX('DM_TinhThanh'!$B$2:$B$35,AGGREGATE(15,6,ROW('DM_TinhThanh'!$B$2:$B$35)-ROW('DM_TinhThanh'!$B$2)+1/ISNUMBER(SEARCH(SUBSTITUTE(UPPER($Q373)," ",""),'DM_TinhThanh'!$C$2:$C$35)),1)),"Không tìm thấy"))</f>
        <v/>
      </c>
      <c r="Y373" s="5">
        <f>IF($R373="","",IFERROR(INDEX('DM_XaPhuong'!$B$2:$B$169,AGGREGATE(15,6,ROW('DM_XaPhuong'!$B$2:$B$169)-ROW('DM_XaPhuong'!$B$2)+1/ISNUMBER(SEARCH(SUBSTITUTE(UPPER($R373)," ",""),'DM_XaPhuong'!$C$2:$C$169)),1)),"Không tìm thấy"))</f>
        <v/>
      </c>
      <c r="AB373" s="5">
        <f>IF($T373="","",IFERROR(INDEX('DM_NgheNghiep'!$B$2:$B$11,AGGREGATE(15,6,ROW('DM_NgheNghiep'!$B$2:$B$11)-ROW('DM_NgheNghiep'!$B$2)+1/ISNUMBER(SEARCH(SUBSTITUTE(UPPER($T373)," ",""),'DM_NgheNghiep'!$C$2:$C$11)),1)),"Không tìm thấy"))</f>
        <v/>
      </c>
      <c r="AD373" s="5">
        <f>IF($U373="","",IFERROR(INDEX('DM_NoiCongTac'!$B$2:$B$11,AGGREGATE(15,6,ROW('DM_NoiCongTac'!$B$2:$B$11)-ROW('DM_NoiCongTac'!$B$2)+1/ISNUMBER(SEARCH(SUBSTITUTE(UPPER($U373)," ",""),'DM_NoiCongTac'!$C$2:$C$11)),1)),"Không tìm thấy"))</f>
        <v/>
      </c>
      <c r="AF373" s="5">
        <f>IF($V373="","",IFERROR(INDEX('DM_XaPhuong'!$B$2:$B$169,AGGREGATE(15,6,ROW('DM_XaPhuong'!$B$2:$B$169)-ROW('DM_XaPhuong'!$B$2)+1/ISNUMBER(SEARCH(SUBSTITUTE(UPPER($V373)," ",""),'DM_XaPhuong'!$C$2:$C$169)),1)),"Không tìm thấy"))</f>
        <v/>
      </c>
    </row>
    <row r="374">
      <c r="C374" s="5">
        <f>IF($B374="","",IFERROR(INDEX('DM_DoiTuong'!$B$2:$B$19,AGGREGATE(15,6,ROW('DM_DoiTuong'!$B$2:$B$19)-ROW('DM_DoiTuong'!$B$2)+1/ISNUMBER(SEARCH(SUBSTITUTE(UPPER($B374)," ",""),'DM_DoiTuong'!$C$2:$C$19)),1)),"Không tìm thấy"))</f>
        <v/>
      </c>
      <c r="E374" s="5">
        <f>IF($C374="","",IFERROR(INDEX('DM_DiaDiemKham'!$B$2:$B$6,AGGREGATE(15,6,ROW('DM_DiaDiemKham'!$B$2:$B$6)-ROW('DM_DiaDiemKham'!$B$2)+1/ISNUMBER(SEARCH(SUBSTITUTE(UPPER($C374)," ",""),'DM_DiaDiemKham'!$C$2:$C$6)),1)),"Không tìm thấy"))</f>
        <v/>
      </c>
      <c r="G374" s="5">
        <f>IF($D374="","",IFERROR(INDEX('DM_HinhThucChiTra'!$B$2:$B$5,AGGREGATE(15,6,ROW('DM_HinhThucChiTra'!$B$2:$B$5)-ROW('DM_HinhThucChiTra'!$B$2)+1/ISNUMBER(SEARCH(SUBSTITUTE(UPPER($D374)," ",""),'DM_HinhThucChiTra'!$C$2:$C$5)),1)),"Không tìm thấy"))</f>
        <v/>
      </c>
      <c r="I374" s="5">
        <f>IF($E374="","",IFERROR(INDEX('DM_HinhThucKham'!$B$2:$B$3,AGGREGATE(15,6,ROW('DM_HinhThucKham'!$B$2:$B$3)-ROW('DM_HinhThucKham'!$B$2)+1/ISNUMBER(SEARCH(SUBSTITUTE(UPPER($E374)," ",""),'DM_HinhThucKham'!$C$2:$C$3)),1)),"Không tìm thấy"))</f>
        <v/>
      </c>
      <c r="P374" s="5">
        <f>IF($K374="","",IFERROR(INDEX('DM_DanToc'!$B$2:$B$78,AGGREGATE(15,6,ROW('DM_DanToc'!$B$2:$B$78)-ROW('DM_DanToc'!$B$2)+1/ISNUMBER(SEARCH(SUBSTITUTE(UPPER($K374)," ",""),'DM_DanToc'!$C$2:$C$78)),1)),"Không tìm thấy"))</f>
        <v/>
      </c>
      <c r="W374" s="5">
        <f>IF($Q374="","",IFERROR(INDEX('DM_TinhThanh'!$B$2:$B$35,AGGREGATE(15,6,ROW('DM_TinhThanh'!$B$2:$B$35)-ROW('DM_TinhThanh'!$B$2)+1/ISNUMBER(SEARCH(SUBSTITUTE(UPPER($Q374)," ",""),'DM_TinhThanh'!$C$2:$C$35)),1)),"Không tìm thấy"))</f>
        <v/>
      </c>
      <c r="Y374" s="5">
        <f>IF($R374="","",IFERROR(INDEX('DM_XaPhuong'!$B$2:$B$169,AGGREGATE(15,6,ROW('DM_XaPhuong'!$B$2:$B$169)-ROW('DM_XaPhuong'!$B$2)+1/ISNUMBER(SEARCH(SUBSTITUTE(UPPER($R374)," ",""),'DM_XaPhuong'!$C$2:$C$169)),1)),"Không tìm thấy"))</f>
        <v/>
      </c>
      <c r="AB374" s="5">
        <f>IF($T374="","",IFERROR(INDEX('DM_NgheNghiep'!$B$2:$B$11,AGGREGATE(15,6,ROW('DM_NgheNghiep'!$B$2:$B$11)-ROW('DM_NgheNghiep'!$B$2)+1/ISNUMBER(SEARCH(SUBSTITUTE(UPPER($T374)," ",""),'DM_NgheNghiep'!$C$2:$C$11)),1)),"Không tìm thấy"))</f>
        <v/>
      </c>
      <c r="AD374" s="5">
        <f>IF($U374="","",IFERROR(INDEX('DM_NoiCongTac'!$B$2:$B$11,AGGREGATE(15,6,ROW('DM_NoiCongTac'!$B$2:$B$11)-ROW('DM_NoiCongTac'!$B$2)+1/ISNUMBER(SEARCH(SUBSTITUTE(UPPER($U374)," ",""),'DM_NoiCongTac'!$C$2:$C$11)),1)),"Không tìm thấy"))</f>
        <v/>
      </c>
      <c r="AF374" s="5">
        <f>IF($V374="","",IFERROR(INDEX('DM_XaPhuong'!$B$2:$B$169,AGGREGATE(15,6,ROW('DM_XaPhuong'!$B$2:$B$169)-ROW('DM_XaPhuong'!$B$2)+1/ISNUMBER(SEARCH(SUBSTITUTE(UPPER($V374)," ",""),'DM_XaPhuong'!$C$2:$C$169)),1)),"Không tìm thấy"))</f>
        <v/>
      </c>
    </row>
    <row r="375">
      <c r="C375" s="5">
        <f>IF($B375="","",IFERROR(INDEX('DM_DoiTuong'!$B$2:$B$19,AGGREGATE(15,6,ROW('DM_DoiTuong'!$B$2:$B$19)-ROW('DM_DoiTuong'!$B$2)+1/ISNUMBER(SEARCH(SUBSTITUTE(UPPER($B375)," ",""),'DM_DoiTuong'!$C$2:$C$19)),1)),"Không tìm thấy"))</f>
        <v/>
      </c>
      <c r="E375" s="5">
        <f>IF($C375="","",IFERROR(INDEX('DM_DiaDiemKham'!$B$2:$B$6,AGGREGATE(15,6,ROW('DM_DiaDiemKham'!$B$2:$B$6)-ROW('DM_DiaDiemKham'!$B$2)+1/ISNUMBER(SEARCH(SUBSTITUTE(UPPER($C375)," ",""),'DM_DiaDiemKham'!$C$2:$C$6)),1)),"Không tìm thấy"))</f>
        <v/>
      </c>
      <c r="G375" s="5">
        <f>IF($D375="","",IFERROR(INDEX('DM_HinhThucChiTra'!$B$2:$B$5,AGGREGATE(15,6,ROW('DM_HinhThucChiTra'!$B$2:$B$5)-ROW('DM_HinhThucChiTra'!$B$2)+1/ISNUMBER(SEARCH(SUBSTITUTE(UPPER($D375)," ",""),'DM_HinhThucChiTra'!$C$2:$C$5)),1)),"Không tìm thấy"))</f>
        <v/>
      </c>
      <c r="I375" s="5">
        <f>IF($E375="","",IFERROR(INDEX('DM_HinhThucKham'!$B$2:$B$3,AGGREGATE(15,6,ROW('DM_HinhThucKham'!$B$2:$B$3)-ROW('DM_HinhThucKham'!$B$2)+1/ISNUMBER(SEARCH(SUBSTITUTE(UPPER($E375)," ",""),'DM_HinhThucKham'!$C$2:$C$3)),1)),"Không tìm thấy"))</f>
        <v/>
      </c>
      <c r="P375" s="5">
        <f>IF($K375="","",IFERROR(INDEX('DM_DanToc'!$B$2:$B$78,AGGREGATE(15,6,ROW('DM_DanToc'!$B$2:$B$78)-ROW('DM_DanToc'!$B$2)+1/ISNUMBER(SEARCH(SUBSTITUTE(UPPER($K375)," ",""),'DM_DanToc'!$C$2:$C$78)),1)),"Không tìm thấy"))</f>
        <v/>
      </c>
      <c r="W375" s="5">
        <f>IF($Q375="","",IFERROR(INDEX('DM_TinhThanh'!$B$2:$B$35,AGGREGATE(15,6,ROW('DM_TinhThanh'!$B$2:$B$35)-ROW('DM_TinhThanh'!$B$2)+1/ISNUMBER(SEARCH(SUBSTITUTE(UPPER($Q375)," ",""),'DM_TinhThanh'!$C$2:$C$35)),1)),"Không tìm thấy"))</f>
        <v/>
      </c>
      <c r="Y375" s="5">
        <f>IF($R375="","",IFERROR(INDEX('DM_XaPhuong'!$B$2:$B$169,AGGREGATE(15,6,ROW('DM_XaPhuong'!$B$2:$B$169)-ROW('DM_XaPhuong'!$B$2)+1/ISNUMBER(SEARCH(SUBSTITUTE(UPPER($R375)," ",""),'DM_XaPhuong'!$C$2:$C$169)),1)),"Không tìm thấy"))</f>
        <v/>
      </c>
      <c r="AB375" s="5">
        <f>IF($T375="","",IFERROR(INDEX('DM_NgheNghiep'!$B$2:$B$11,AGGREGATE(15,6,ROW('DM_NgheNghiep'!$B$2:$B$11)-ROW('DM_NgheNghiep'!$B$2)+1/ISNUMBER(SEARCH(SUBSTITUTE(UPPER($T375)," ",""),'DM_NgheNghiep'!$C$2:$C$11)),1)),"Không tìm thấy"))</f>
        <v/>
      </c>
      <c r="AD375" s="5">
        <f>IF($U375="","",IFERROR(INDEX('DM_NoiCongTac'!$B$2:$B$11,AGGREGATE(15,6,ROW('DM_NoiCongTac'!$B$2:$B$11)-ROW('DM_NoiCongTac'!$B$2)+1/ISNUMBER(SEARCH(SUBSTITUTE(UPPER($U375)," ",""),'DM_NoiCongTac'!$C$2:$C$11)),1)),"Không tìm thấy"))</f>
        <v/>
      </c>
      <c r="AF375" s="5">
        <f>IF($V375="","",IFERROR(INDEX('DM_XaPhuong'!$B$2:$B$169,AGGREGATE(15,6,ROW('DM_XaPhuong'!$B$2:$B$169)-ROW('DM_XaPhuong'!$B$2)+1/ISNUMBER(SEARCH(SUBSTITUTE(UPPER($V375)," ",""),'DM_XaPhuong'!$C$2:$C$169)),1)),"Không tìm thấy"))</f>
        <v/>
      </c>
    </row>
    <row r="376">
      <c r="C376" s="5">
        <f>IF($B376="","",IFERROR(INDEX('DM_DoiTuong'!$B$2:$B$19,AGGREGATE(15,6,ROW('DM_DoiTuong'!$B$2:$B$19)-ROW('DM_DoiTuong'!$B$2)+1/ISNUMBER(SEARCH(SUBSTITUTE(UPPER($B376)," ",""),'DM_DoiTuong'!$C$2:$C$19)),1)),"Không tìm thấy"))</f>
        <v/>
      </c>
      <c r="E376" s="5">
        <f>IF($C376="","",IFERROR(INDEX('DM_DiaDiemKham'!$B$2:$B$6,AGGREGATE(15,6,ROW('DM_DiaDiemKham'!$B$2:$B$6)-ROW('DM_DiaDiemKham'!$B$2)+1/ISNUMBER(SEARCH(SUBSTITUTE(UPPER($C376)," ",""),'DM_DiaDiemKham'!$C$2:$C$6)),1)),"Không tìm thấy"))</f>
        <v/>
      </c>
      <c r="G376" s="5">
        <f>IF($D376="","",IFERROR(INDEX('DM_HinhThucChiTra'!$B$2:$B$5,AGGREGATE(15,6,ROW('DM_HinhThucChiTra'!$B$2:$B$5)-ROW('DM_HinhThucChiTra'!$B$2)+1/ISNUMBER(SEARCH(SUBSTITUTE(UPPER($D376)," ",""),'DM_HinhThucChiTra'!$C$2:$C$5)),1)),"Không tìm thấy"))</f>
        <v/>
      </c>
      <c r="I376" s="5">
        <f>IF($E376="","",IFERROR(INDEX('DM_HinhThucKham'!$B$2:$B$3,AGGREGATE(15,6,ROW('DM_HinhThucKham'!$B$2:$B$3)-ROW('DM_HinhThucKham'!$B$2)+1/ISNUMBER(SEARCH(SUBSTITUTE(UPPER($E376)," ",""),'DM_HinhThucKham'!$C$2:$C$3)),1)),"Không tìm thấy"))</f>
        <v/>
      </c>
      <c r="P376" s="5">
        <f>IF($K376="","",IFERROR(INDEX('DM_DanToc'!$B$2:$B$78,AGGREGATE(15,6,ROW('DM_DanToc'!$B$2:$B$78)-ROW('DM_DanToc'!$B$2)+1/ISNUMBER(SEARCH(SUBSTITUTE(UPPER($K376)," ",""),'DM_DanToc'!$C$2:$C$78)),1)),"Không tìm thấy"))</f>
        <v/>
      </c>
      <c r="W376" s="5">
        <f>IF($Q376="","",IFERROR(INDEX('DM_TinhThanh'!$B$2:$B$35,AGGREGATE(15,6,ROW('DM_TinhThanh'!$B$2:$B$35)-ROW('DM_TinhThanh'!$B$2)+1/ISNUMBER(SEARCH(SUBSTITUTE(UPPER($Q376)," ",""),'DM_TinhThanh'!$C$2:$C$35)),1)),"Không tìm thấy"))</f>
        <v/>
      </c>
      <c r="Y376" s="5">
        <f>IF($R376="","",IFERROR(INDEX('DM_XaPhuong'!$B$2:$B$169,AGGREGATE(15,6,ROW('DM_XaPhuong'!$B$2:$B$169)-ROW('DM_XaPhuong'!$B$2)+1/ISNUMBER(SEARCH(SUBSTITUTE(UPPER($R376)," ",""),'DM_XaPhuong'!$C$2:$C$169)),1)),"Không tìm thấy"))</f>
        <v/>
      </c>
      <c r="AB376" s="5">
        <f>IF($T376="","",IFERROR(INDEX('DM_NgheNghiep'!$B$2:$B$11,AGGREGATE(15,6,ROW('DM_NgheNghiep'!$B$2:$B$11)-ROW('DM_NgheNghiep'!$B$2)+1/ISNUMBER(SEARCH(SUBSTITUTE(UPPER($T376)," ",""),'DM_NgheNghiep'!$C$2:$C$11)),1)),"Không tìm thấy"))</f>
        <v/>
      </c>
      <c r="AD376" s="5">
        <f>IF($U376="","",IFERROR(INDEX('DM_NoiCongTac'!$B$2:$B$11,AGGREGATE(15,6,ROW('DM_NoiCongTac'!$B$2:$B$11)-ROW('DM_NoiCongTac'!$B$2)+1/ISNUMBER(SEARCH(SUBSTITUTE(UPPER($U376)," ",""),'DM_NoiCongTac'!$C$2:$C$11)),1)),"Không tìm thấy"))</f>
        <v/>
      </c>
      <c r="AF376" s="5">
        <f>IF($V376="","",IFERROR(INDEX('DM_XaPhuong'!$B$2:$B$169,AGGREGATE(15,6,ROW('DM_XaPhuong'!$B$2:$B$169)-ROW('DM_XaPhuong'!$B$2)+1/ISNUMBER(SEARCH(SUBSTITUTE(UPPER($V376)," ",""),'DM_XaPhuong'!$C$2:$C$169)),1)),"Không tìm thấy"))</f>
        <v/>
      </c>
    </row>
    <row r="377">
      <c r="C377" s="5">
        <f>IF($B377="","",IFERROR(INDEX('DM_DoiTuong'!$B$2:$B$19,AGGREGATE(15,6,ROW('DM_DoiTuong'!$B$2:$B$19)-ROW('DM_DoiTuong'!$B$2)+1/ISNUMBER(SEARCH(SUBSTITUTE(UPPER($B377)," ",""),'DM_DoiTuong'!$C$2:$C$19)),1)),"Không tìm thấy"))</f>
        <v/>
      </c>
      <c r="E377" s="5">
        <f>IF($C377="","",IFERROR(INDEX('DM_DiaDiemKham'!$B$2:$B$6,AGGREGATE(15,6,ROW('DM_DiaDiemKham'!$B$2:$B$6)-ROW('DM_DiaDiemKham'!$B$2)+1/ISNUMBER(SEARCH(SUBSTITUTE(UPPER($C377)," ",""),'DM_DiaDiemKham'!$C$2:$C$6)),1)),"Không tìm thấy"))</f>
        <v/>
      </c>
      <c r="G377" s="5">
        <f>IF($D377="","",IFERROR(INDEX('DM_HinhThucChiTra'!$B$2:$B$5,AGGREGATE(15,6,ROW('DM_HinhThucChiTra'!$B$2:$B$5)-ROW('DM_HinhThucChiTra'!$B$2)+1/ISNUMBER(SEARCH(SUBSTITUTE(UPPER($D377)," ",""),'DM_HinhThucChiTra'!$C$2:$C$5)),1)),"Không tìm thấy"))</f>
        <v/>
      </c>
      <c r="I377" s="5">
        <f>IF($E377="","",IFERROR(INDEX('DM_HinhThucKham'!$B$2:$B$3,AGGREGATE(15,6,ROW('DM_HinhThucKham'!$B$2:$B$3)-ROW('DM_HinhThucKham'!$B$2)+1/ISNUMBER(SEARCH(SUBSTITUTE(UPPER($E377)," ",""),'DM_HinhThucKham'!$C$2:$C$3)),1)),"Không tìm thấy"))</f>
        <v/>
      </c>
      <c r="P377" s="5">
        <f>IF($K377="","",IFERROR(INDEX('DM_DanToc'!$B$2:$B$78,AGGREGATE(15,6,ROW('DM_DanToc'!$B$2:$B$78)-ROW('DM_DanToc'!$B$2)+1/ISNUMBER(SEARCH(SUBSTITUTE(UPPER($K377)," ",""),'DM_DanToc'!$C$2:$C$78)),1)),"Không tìm thấy"))</f>
        <v/>
      </c>
      <c r="W377" s="5">
        <f>IF($Q377="","",IFERROR(INDEX('DM_TinhThanh'!$B$2:$B$35,AGGREGATE(15,6,ROW('DM_TinhThanh'!$B$2:$B$35)-ROW('DM_TinhThanh'!$B$2)+1/ISNUMBER(SEARCH(SUBSTITUTE(UPPER($Q377)," ",""),'DM_TinhThanh'!$C$2:$C$35)),1)),"Không tìm thấy"))</f>
        <v/>
      </c>
      <c r="Y377" s="5">
        <f>IF($R377="","",IFERROR(INDEX('DM_XaPhuong'!$B$2:$B$169,AGGREGATE(15,6,ROW('DM_XaPhuong'!$B$2:$B$169)-ROW('DM_XaPhuong'!$B$2)+1/ISNUMBER(SEARCH(SUBSTITUTE(UPPER($R377)," ",""),'DM_XaPhuong'!$C$2:$C$169)),1)),"Không tìm thấy"))</f>
        <v/>
      </c>
      <c r="AB377" s="5">
        <f>IF($T377="","",IFERROR(INDEX('DM_NgheNghiep'!$B$2:$B$11,AGGREGATE(15,6,ROW('DM_NgheNghiep'!$B$2:$B$11)-ROW('DM_NgheNghiep'!$B$2)+1/ISNUMBER(SEARCH(SUBSTITUTE(UPPER($T377)," ",""),'DM_NgheNghiep'!$C$2:$C$11)),1)),"Không tìm thấy"))</f>
        <v/>
      </c>
      <c r="AD377" s="5">
        <f>IF($U377="","",IFERROR(INDEX('DM_NoiCongTac'!$B$2:$B$11,AGGREGATE(15,6,ROW('DM_NoiCongTac'!$B$2:$B$11)-ROW('DM_NoiCongTac'!$B$2)+1/ISNUMBER(SEARCH(SUBSTITUTE(UPPER($U377)," ",""),'DM_NoiCongTac'!$C$2:$C$11)),1)),"Không tìm thấy"))</f>
        <v/>
      </c>
      <c r="AF377" s="5">
        <f>IF($V377="","",IFERROR(INDEX('DM_XaPhuong'!$B$2:$B$169,AGGREGATE(15,6,ROW('DM_XaPhuong'!$B$2:$B$169)-ROW('DM_XaPhuong'!$B$2)+1/ISNUMBER(SEARCH(SUBSTITUTE(UPPER($V377)," ",""),'DM_XaPhuong'!$C$2:$C$169)),1)),"Không tìm thấy"))</f>
        <v/>
      </c>
    </row>
    <row r="378">
      <c r="C378" s="5">
        <f>IF($B378="","",IFERROR(INDEX('DM_DoiTuong'!$B$2:$B$19,AGGREGATE(15,6,ROW('DM_DoiTuong'!$B$2:$B$19)-ROW('DM_DoiTuong'!$B$2)+1/ISNUMBER(SEARCH(SUBSTITUTE(UPPER($B378)," ",""),'DM_DoiTuong'!$C$2:$C$19)),1)),"Không tìm thấy"))</f>
        <v/>
      </c>
      <c r="E378" s="5">
        <f>IF($C378="","",IFERROR(INDEX('DM_DiaDiemKham'!$B$2:$B$6,AGGREGATE(15,6,ROW('DM_DiaDiemKham'!$B$2:$B$6)-ROW('DM_DiaDiemKham'!$B$2)+1/ISNUMBER(SEARCH(SUBSTITUTE(UPPER($C378)," ",""),'DM_DiaDiemKham'!$C$2:$C$6)),1)),"Không tìm thấy"))</f>
        <v/>
      </c>
      <c r="G378" s="5">
        <f>IF($D378="","",IFERROR(INDEX('DM_HinhThucChiTra'!$B$2:$B$5,AGGREGATE(15,6,ROW('DM_HinhThucChiTra'!$B$2:$B$5)-ROW('DM_HinhThucChiTra'!$B$2)+1/ISNUMBER(SEARCH(SUBSTITUTE(UPPER($D378)," ",""),'DM_HinhThucChiTra'!$C$2:$C$5)),1)),"Không tìm thấy"))</f>
        <v/>
      </c>
      <c r="I378" s="5">
        <f>IF($E378="","",IFERROR(INDEX('DM_HinhThucKham'!$B$2:$B$3,AGGREGATE(15,6,ROW('DM_HinhThucKham'!$B$2:$B$3)-ROW('DM_HinhThucKham'!$B$2)+1/ISNUMBER(SEARCH(SUBSTITUTE(UPPER($E378)," ",""),'DM_HinhThucKham'!$C$2:$C$3)),1)),"Không tìm thấy"))</f>
        <v/>
      </c>
      <c r="P378" s="5">
        <f>IF($K378="","",IFERROR(INDEX('DM_DanToc'!$B$2:$B$78,AGGREGATE(15,6,ROW('DM_DanToc'!$B$2:$B$78)-ROW('DM_DanToc'!$B$2)+1/ISNUMBER(SEARCH(SUBSTITUTE(UPPER($K378)," ",""),'DM_DanToc'!$C$2:$C$78)),1)),"Không tìm thấy"))</f>
        <v/>
      </c>
      <c r="W378" s="5">
        <f>IF($Q378="","",IFERROR(INDEX('DM_TinhThanh'!$B$2:$B$35,AGGREGATE(15,6,ROW('DM_TinhThanh'!$B$2:$B$35)-ROW('DM_TinhThanh'!$B$2)+1/ISNUMBER(SEARCH(SUBSTITUTE(UPPER($Q378)," ",""),'DM_TinhThanh'!$C$2:$C$35)),1)),"Không tìm thấy"))</f>
        <v/>
      </c>
      <c r="Y378" s="5">
        <f>IF($R378="","",IFERROR(INDEX('DM_XaPhuong'!$B$2:$B$169,AGGREGATE(15,6,ROW('DM_XaPhuong'!$B$2:$B$169)-ROW('DM_XaPhuong'!$B$2)+1/ISNUMBER(SEARCH(SUBSTITUTE(UPPER($R378)," ",""),'DM_XaPhuong'!$C$2:$C$169)),1)),"Không tìm thấy"))</f>
        <v/>
      </c>
      <c r="AB378" s="5">
        <f>IF($T378="","",IFERROR(INDEX('DM_NgheNghiep'!$B$2:$B$11,AGGREGATE(15,6,ROW('DM_NgheNghiep'!$B$2:$B$11)-ROW('DM_NgheNghiep'!$B$2)+1/ISNUMBER(SEARCH(SUBSTITUTE(UPPER($T378)," ",""),'DM_NgheNghiep'!$C$2:$C$11)),1)),"Không tìm thấy"))</f>
        <v/>
      </c>
      <c r="AD378" s="5">
        <f>IF($U378="","",IFERROR(INDEX('DM_NoiCongTac'!$B$2:$B$11,AGGREGATE(15,6,ROW('DM_NoiCongTac'!$B$2:$B$11)-ROW('DM_NoiCongTac'!$B$2)+1/ISNUMBER(SEARCH(SUBSTITUTE(UPPER($U378)," ",""),'DM_NoiCongTac'!$C$2:$C$11)),1)),"Không tìm thấy"))</f>
        <v/>
      </c>
      <c r="AF378" s="5">
        <f>IF($V378="","",IFERROR(INDEX('DM_XaPhuong'!$B$2:$B$169,AGGREGATE(15,6,ROW('DM_XaPhuong'!$B$2:$B$169)-ROW('DM_XaPhuong'!$B$2)+1/ISNUMBER(SEARCH(SUBSTITUTE(UPPER($V378)," ",""),'DM_XaPhuong'!$C$2:$C$169)),1)),"Không tìm thấy"))</f>
        <v/>
      </c>
    </row>
    <row r="379">
      <c r="C379" s="5">
        <f>IF($B379="","",IFERROR(INDEX('DM_DoiTuong'!$B$2:$B$19,AGGREGATE(15,6,ROW('DM_DoiTuong'!$B$2:$B$19)-ROW('DM_DoiTuong'!$B$2)+1/ISNUMBER(SEARCH(SUBSTITUTE(UPPER($B379)," ",""),'DM_DoiTuong'!$C$2:$C$19)),1)),"Không tìm thấy"))</f>
        <v/>
      </c>
      <c r="E379" s="5">
        <f>IF($C379="","",IFERROR(INDEX('DM_DiaDiemKham'!$B$2:$B$6,AGGREGATE(15,6,ROW('DM_DiaDiemKham'!$B$2:$B$6)-ROW('DM_DiaDiemKham'!$B$2)+1/ISNUMBER(SEARCH(SUBSTITUTE(UPPER($C379)," ",""),'DM_DiaDiemKham'!$C$2:$C$6)),1)),"Không tìm thấy"))</f>
        <v/>
      </c>
      <c r="G379" s="5">
        <f>IF($D379="","",IFERROR(INDEX('DM_HinhThucChiTra'!$B$2:$B$5,AGGREGATE(15,6,ROW('DM_HinhThucChiTra'!$B$2:$B$5)-ROW('DM_HinhThucChiTra'!$B$2)+1/ISNUMBER(SEARCH(SUBSTITUTE(UPPER($D379)," ",""),'DM_HinhThucChiTra'!$C$2:$C$5)),1)),"Không tìm thấy"))</f>
        <v/>
      </c>
      <c r="I379" s="5">
        <f>IF($E379="","",IFERROR(INDEX('DM_HinhThucKham'!$B$2:$B$3,AGGREGATE(15,6,ROW('DM_HinhThucKham'!$B$2:$B$3)-ROW('DM_HinhThucKham'!$B$2)+1/ISNUMBER(SEARCH(SUBSTITUTE(UPPER($E379)," ",""),'DM_HinhThucKham'!$C$2:$C$3)),1)),"Không tìm thấy"))</f>
        <v/>
      </c>
      <c r="P379" s="5">
        <f>IF($K379="","",IFERROR(INDEX('DM_DanToc'!$B$2:$B$78,AGGREGATE(15,6,ROW('DM_DanToc'!$B$2:$B$78)-ROW('DM_DanToc'!$B$2)+1/ISNUMBER(SEARCH(SUBSTITUTE(UPPER($K379)," ",""),'DM_DanToc'!$C$2:$C$78)),1)),"Không tìm thấy"))</f>
        <v/>
      </c>
      <c r="W379" s="5">
        <f>IF($Q379="","",IFERROR(INDEX('DM_TinhThanh'!$B$2:$B$35,AGGREGATE(15,6,ROW('DM_TinhThanh'!$B$2:$B$35)-ROW('DM_TinhThanh'!$B$2)+1/ISNUMBER(SEARCH(SUBSTITUTE(UPPER($Q379)," ",""),'DM_TinhThanh'!$C$2:$C$35)),1)),"Không tìm thấy"))</f>
        <v/>
      </c>
      <c r="Y379" s="5">
        <f>IF($R379="","",IFERROR(INDEX('DM_XaPhuong'!$B$2:$B$169,AGGREGATE(15,6,ROW('DM_XaPhuong'!$B$2:$B$169)-ROW('DM_XaPhuong'!$B$2)+1/ISNUMBER(SEARCH(SUBSTITUTE(UPPER($R379)," ",""),'DM_XaPhuong'!$C$2:$C$169)),1)),"Không tìm thấy"))</f>
        <v/>
      </c>
      <c r="AB379" s="5">
        <f>IF($T379="","",IFERROR(INDEX('DM_NgheNghiep'!$B$2:$B$11,AGGREGATE(15,6,ROW('DM_NgheNghiep'!$B$2:$B$11)-ROW('DM_NgheNghiep'!$B$2)+1/ISNUMBER(SEARCH(SUBSTITUTE(UPPER($T379)," ",""),'DM_NgheNghiep'!$C$2:$C$11)),1)),"Không tìm thấy"))</f>
        <v/>
      </c>
      <c r="AD379" s="5">
        <f>IF($U379="","",IFERROR(INDEX('DM_NoiCongTac'!$B$2:$B$11,AGGREGATE(15,6,ROW('DM_NoiCongTac'!$B$2:$B$11)-ROW('DM_NoiCongTac'!$B$2)+1/ISNUMBER(SEARCH(SUBSTITUTE(UPPER($U379)," ",""),'DM_NoiCongTac'!$C$2:$C$11)),1)),"Không tìm thấy"))</f>
        <v/>
      </c>
      <c r="AF379" s="5">
        <f>IF($V379="","",IFERROR(INDEX('DM_XaPhuong'!$B$2:$B$169,AGGREGATE(15,6,ROW('DM_XaPhuong'!$B$2:$B$169)-ROW('DM_XaPhuong'!$B$2)+1/ISNUMBER(SEARCH(SUBSTITUTE(UPPER($V379)," ",""),'DM_XaPhuong'!$C$2:$C$169)),1)),"Không tìm thấy"))</f>
        <v/>
      </c>
    </row>
    <row r="380">
      <c r="C380" s="5">
        <f>IF($B380="","",IFERROR(INDEX('DM_DoiTuong'!$B$2:$B$19,AGGREGATE(15,6,ROW('DM_DoiTuong'!$B$2:$B$19)-ROW('DM_DoiTuong'!$B$2)+1/ISNUMBER(SEARCH(SUBSTITUTE(UPPER($B380)," ",""),'DM_DoiTuong'!$C$2:$C$19)),1)),"Không tìm thấy"))</f>
        <v/>
      </c>
      <c r="E380" s="5">
        <f>IF($C380="","",IFERROR(INDEX('DM_DiaDiemKham'!$B$2:$B$6,AGGREGATE(15,6,ROW('DM_DiaDiemKham'!$B$2:$B$6)-ROW('DM_DiaDiemKham'!$B$2)+1/ISNUMBER(SEARCH(SUBSTITUTE(UPPER($C380)," ",""),'DM_DiaDiemKham'!$C$2:$C$6)),1)),"Không tìm thấy"))</f>
        <v/>
      </c>
      <c r="G380" s="5">
        <f>IF($D380="","",IFERROR(INDEX('DM_HinhThucChiTra'!$B$2:$B$5,AGGREGATE(15,6,ROW('DM_HinhThucChiTra'!$B$2:$B$5)-ROW('DM_HinhThucChiTra'!$B$2)+1/ISNUMBER(SEARCH(SUBSTITUTE(UPPER($D380)," ",""),'DM_HinhThucChiTra'!$C$2:$C$5)),1)),"Không tìm thấy"))</f>
        <v/>
      </c>
      <c r="I380" s="5">
        <f>IF($E380="","",IFERROR(INDEX('DM_HinhThucKham'!$B$2:$B$3,AGGREGATE(15,6,ROW('DM_HinhThucKham'!$B$2:$B$3)-ROW('DM_HinhThucKham'!$B$2)+1/ISNUMBER(SEARCH(SUBSTITUTE(UPPER($E380)," ",""),'DM_HinhThucKham'!$C$2:$C$3)),1)),"Không tìm thấy"))</f>
        <v/>
      </c>
      <c r="P380" s="5">
        <f>IF($K380="","",IFERROR(INDEX('DM_DanToc'!$B$2:$B$78,AGGREGATE(15,6,ROW('DM_DanToc'!$B$2:$B$78)-ROW('DM_DanToc'!$B$2)+1/ISNUMBER(SEARCH(SUBSTITUTE(UPPER($K380)," ",""),'DM_DanToc'!$C$2:$C$78)),1)),"Không tìm thấy"))</f>
        <v/>
      </c>
      <c r="W380" s="5">
        <f>IF($Q380="","",IFERROR(INDEX('DM_TinhThanh'!$B$2:$B$35,AGGREGATE(15,6,ROW('DM_TinhThanh'!$B$2:$B$35)-ROW('DM_TinhThanh'!$B$2)+1/ISNUMBER(SEARCH(SUBSTITUTE(UPPER($Q380)," ",""),'DM_TinhThanh'!$C$2:$C$35)),1)),"Không tìm thấy"))</f>
        <v/>
      </c>
      <c r="Y380" s="5">
        <f>IF($R380="","",IFERROR(INDEX('DM_XaPhuong'!$B$2:$B$169,AGGREGATE(15,6,ROW('DM_XaPhuong'!$B$2:$B$169)-ROW('DM_XaPhuong'!$B$2)+1/ISNUMBER(SEARCH(SUBSTITUTE(UPPER($R380)," ",""),'DM_XaPhuong'!$C$2:$C$169)),1)),"Không tìm thấy"))</f>
        <v/>
      </c>
      <c r="AB380" s="5">
        <f>IF($T380="","",IFERROR(INDEX('DM_NgheNghiep'!$B$2:$B$11,AGGREGATE(15,6,ROW('DM_NgheNghiep'!$B$2:$B$11)-ROW('DM_NgheNghiep'!$B$2)+1/ISNUMBER(SEARCH(SUBSTITUTE(UPPER($T380)," ",""),'DM_NgheNghiep'!$C$2:$C$11)),1)),"Không tìm thấy"))</f>
        <v/>
      </c>
      <c r="AD380" s="5">
        <f>IF($U380="","",IFERROR(INDEX('DM_NoiCongTac'!$B$2:$B$11,AGGREGATE(15,6,ROW('DM_NoiCongTac'!$B$2:$B$11)-ROW('DM_NoiCongTac'!$B$2)+1/ISNUMBER(SEARCH(SUBSTITUTE(UPPER($U380)," ",""),'DM_NoiCongTac'!$C$2:$C$11)),1)),"Không tìm thấy"))</f>
        <v/>
      </c>
      <c r="AF380" s="5">
        <f>IF($V380="","",IFERROR(INDEX('DM_XaPhuong'!$B$2:$B$169,AGGREGATE(15,6,ROW('DM_XaPhuong'!$B$2:$B$169)-ROW('DM_XaPhuong'!$B$2)+1/ISNUMBER(SEARCH(SUBSTITUTE(UPPER($V380)," ",""),'DM_XaPhuong'!$C$2:$C$169)),1)),"Không tìm thấy"))</f>
        <v/>
      </c>
    </row>
    <row r="381">
      <c r="C381" s="5">
        <f>IF($B381="","",IFERROR(INDEX('DM_DoiTuong'!$B$2:$B$19,AGGREGATE(15,6,ROW('DM_DoiTuong'!$B$2:$B$19)-ROW('DM_DoiTuong'!$B$2)+1/ISNUMBER(SEARCH(SUBSTITUTE(UPPER($B381)," ",""),'DM_DoiTuong'!$C$2:$C$19)),1)),"Không tìm thấy"))</f>
        <v/>
      </c>
      <c r="E381" s="5">
        <f>IF($C381="","",IFERROR(INDEX('DM_DiaDiemKham'!$B$2:$B$6,AGGREGATE(15,6,ROW('DM_DiaDiemKham'!$B$2:$B$6)-ROW('DM_DiaDiemKham'!$B$2)+1/ISNUMBER(SEARCH(SUBSTITUTE(UPPER($C381)," ",""),'DM_DiaDiemKham'!$C$2:$C$6)),1)),"Không tìm thấy"))</f>
        <v/>
      </c>
      <c r="G381" s="5">
        <f>IF($D381="","",IFERROR(INDEX('DM_HinhThucChiTra'!$B$2:$B$5,AGGREGATE(15,6,ROW('DM_HinhThucChiTra'!$B$2:$B$5)-ROW('DM_HinhThucChiTra'!$B$2)+1/ISNUMBER(SEARCH(SUBSTITUTE(UPPER($D381)," ",""),'DM_HinhThucChiTra'!$C$2:$C$5)),1)),"Không tìm thấy"))</f>
        <v/>
      </c>
      <c r="I381" s="5">
        <f>IF($E381="","",IFERROR(INDEX('DM_HinhThucKham'!$B$2:$B$3,AGGREGATE(15,6,ROW('DM_HinhThucKham'!$B$2:$B$3)-ROW('DM_HinhThucKham'!$B$2)+1/ISNUMBER(SEARCH(SUBSTITUTE(UPPER($E381)," ",""),'DM_HinhThucKham'!$C$2:$C$3)),1)),"Không tìm thấy"))</f>
        <v/>
      </c>
      <c r="P381" s="5">
        <f>IF($K381="","",IFERROR(INDEX('DM_DanToc'!$B$2:$B$78,AGGREGATE(15,6,ROW('DM_DanToc'!$B$2:$B$78)-ROW('DM_DanToc'!$B$2)+1/ISNUMBER(SEARCH(SUBSTITUTE(UPPER($K381)," ",""),'DM_DanToc'!$C$2:$C$78)),1)),"Không tìm thấy"))</f>
        <v/>
      </c>
      <c r="W381" s="5">
        <f>IF($Q381="","",IFERROR(INDEX('DM_TinhThanh'!$B$2:$B$35,AGGREGATE(15,6,ROW('DM_TinhThanh'!$B$2:$B$35)-ROW('DM_TinhThanh'!$B$2)+1/ISNUMBER(SEARCH(SUBSTITUTE(UPPER($Q381)," ",""),'DM_TinhThanh'!$C$2:$C$35)),1)),"Không tìm thấy"))</f>
        <v/>
      </c>
      <c r="Y381" s="5">
        <f>IF($R381="","",IFERROR(INDEX('DM_XaPhuong'!$B$2:$B$169,AGGREGATE(15,6,ROW('DM_XaPhuong'!$B$2:$B$169)-ROW('DM_XaPhuong'!$B$2)+1/ISNUMBER(SEARCH(SUBSTITUTE(UPPER($R381)," ",""),'DM_XaPhuong'!$C$2:$C$169)),1)),"Không tìm thấy"))</f>
        <v/>
      </c>
      <c r="AB381" s="5">
        <f>IF($T381="","",IFERROR(INDEX('DM_NgheNghiep'!$B$2:$B$11,AGGREGATE(15,6,ROW('DM_NgheNghiep'!$B$2:$B$11)-ROW('DM_NgheNghiep'!$B$2)+1/ISNUMBER(SEARCH(SUBSTITUTE(UPPER($T381)," ",""),'DM_NgheNghiep'!$C$2:$C$11)),1)),"Không tìm thấy"))</f>
        <v/>
      </c>
      <c r="AD381" s="5">
        <f>IF($U381="","",IFERROR(INDEX('DM_NoiCongTac'!$B$2:$B$11,AGGREGATE(15,6,ROW('DM_NoiCongTac'!$B$2:$B$11)-ROW('DM_NoiCongTac'!$B$2)+1/ISNUMBER(SEARCH(SUBSTITUTE(UPPER($U381)," ",""),'DM_NoiCongTac'!$C$2:$C$11)),1)),"Không tìm thấy"))</f>
        <v/>
      </c>
      <c r="AF381" s="5">
        <f>IF($V381="","",IFERROR(INDEX('DM_XaPhuong'!$B$2:$B$169,AGGREGATE(15,6,ROW('DM_XaPhuong'!$B$2:$B$169)-ROW('DM_XaPhuong'!$B$2)+1/ISNUMBER(SEARCH(SUBSTITUTE(UPPER($V381)," ",""),'DM_XaPhuong'!$C$2:$C$169)),1)),"Không tìm thấy"))</f>
        <v/>
      </c>
    </row>
    <row r="382">
      <c r="C382" s="5">
        <f>IF($B382="","",IFERROR(INDEX('DM_DoiTuong'!$B$2:$B$19,AGGREGATE(15,6,ROW('DM_DoiTuong'!$B$2:$B$19)-ROW('DM_DoiTuong'!$B$2)+1/ISNUMBER(SEARCH(SUBSTITUTE(UPPER($B382)," ",""),'DM_DoiTuong'!$C$2:$C$19)),1)),"Không tìm thấy"))</f>
        <v/>
      </c>
      <c r="E382" s="5">
        <f>IF($C382="","",IFERROR(INDEX('DM_DiaDiemKham'!$B$2:$B$6,AGGREGATE(15,6,ROW('DM_DiaDiemKham'!$B$2:$B$6)-ROW('DM_DiaDiemKham'!$B$2)+1/ISNUMBER(SEARCH(SUBSTITUTE(UPPER($C382)," ",""),'DM_DiaDiemKham'!$C$2:$C$6)),1)),"Không tìm thấy"))</f>
        <v/>
      </c>
      <c r="G382" s="5">
        <f>IF($D382="","",IFERROR(INDEX('DM_HinhThucChiTra'!$B$2:$B$5,AGGREGATE(15,6,ROW('DM_HinhThucChiTra'!$B$2:$B$5)-ROW('DM_HinhThucChiTra'!$B$2)+1/ISNUMBER(SEARCH(SUBSTITUTE(UPPER($D382)," ",""),'DM_HinhThucChiTra'!$C$2:$C$5)),1)),"Không tìm thấy"))</f>
        <v/>
      </c>
      <c r="I382" s="5">
        <f>IF($E382="","",IFERROR(INDEX('DM_HinhThucKham'!$B$2:$B$3,AGGREGATE(15,6,ROW('DM_HinhThucKham'!$B$2:$B$3)-ROW('DM_HinhThucKham'!$B$2)+1/ISNUMBER(SEARCH(SUBSTITUTE(UPPER($E382)," ",""),'DM_HinhThucKham'!$C$2:$C$3)),1)),"Không tìm thấy"))</f>
        <v/>
      </c>
      <c r="P382" s="5">
        <f>IF($K382="","",IFERROR(INDEX('DM_DanToc'!$B$2:$B$78,AGGREGATE(15,6,ROW('DM_DanToc'!$B$2:$B$78)-ROW('DM_DanToc'!$B$2)+1/ISNUMBER(SEARCH(SUBSTITUTE(UPPER($K382)," ",""),'DM_DanToc'!$C$2:$C$78)),1)),"Không tìm thấy"))</f>
        <v/>
      </c>
      <c r="W382" s="5">
        <f>IF($Q382="","",IFERROR(INDEX('DM_TinhThanh'!$B$2:$B$35,AGGREGATE(15,6,ROW('DM_TinhThanh'!$B$2:$B$35)-ROW('DM_TinhThanh'!$B$2)+1/ISNUMBER(SEARCH(SUBSTITUTE(UPPER($Q382)," ",""),'DM_TinhThanh'!$C$2:$C$35)),1)),"Không tìm thấy"))</f>
        <v/>
      </c>
      <c r="Y382" s="5">
        <f>IF($R382="","",IFERROR(INDEX('DM_XaPhuong'!$B$2:$B$169,AGGREGATE(15,6,ROW('DM_XaPhuong'!$B$2:$B$169)-ROW('DM_XaPhuong'!$B$2)+1/ISNUMBER(SEARCH(SUBSTITUTE(UPPER($R382)," ",""),'DM_XaPhuong'!$C$2:$C$169)),1)),"Không tìm thấy"))</f>
        <v/>
      </c>
      <c r="AB382" s="5">
        <f>IF($T382="","",IFERROR(INDEX('DM_NgheNghiep'!$B$2:$B$11,AGGREGATE(15,6,ROW('DM_NgheNghiep'!$B$2:$B$11)-ROW('DM_NgheNghiep'!$B$2)+1/ISNUMBER(SEARCH(SUBSTITUTE(UPPER($T382)," ",""),'DM_NgheNghiep'!$C$2:$C$11)),1)),"Không tìm thấy"))</f>
        <v/>
      </c>
      <c r="AD382" s="5">
        <f>IF($U382="","",IFERROR(INDEX('DM_NoiCongTac'!$B$2:$B$11,AGGREGATE(15,6,ROW('DM_NoiCongTac'!$B$2:$B$11)-ROW('DM_NoiCongTac'!$B$2)+1/ISNUMBER(SEARCH(SUBSTITUTE(UPPER($U382)," ",""),'DM_NoiCongTac'!$C$2:$C$11)),1)),"Không tìm thấy"))</f>
        <v/>
      </c>
      <c r="AF382" s="5">
        <f>IF($V382="","",IFERROR(INDEX('DM_XaPhuong'!$B$2:$B$169,AGGREGATE(15,6,ROW('DM_XaPhuong'!$B$2:$B$169)-ROW('DM_XaPhuong'!$B$2)+1/ISNUMBER(SEARCH(SUBSTITUTE(UPPER($V382)," ",""),'DM_XaPhuong'!$C$2:$C$169)),1)),"Không tìm thấy"))</f>
        <v/>
      </c>
    </row>
    <row r="383">
      <c r="C383" s="5">
        <f>IF($B383="","",IFERROR(INDEX('DM_DoiTuong'!$B$2:$B$19,AGGREGATE(15,6,ROW('DM_DoiTuong'!$B$2:$B$19)-ROW('DM_DoiTuong'!$B$2)+1/ISNUMBER(SEARCH(SUBSTITUTE(UPPER($B383)," ",""),'DM_DoiTuong'!$C$2:$C$19)),1)),"Không tìm thấy"))</f>
        <v/>
      </c>
      <c r="E383" s="5">
        <f>IF($C383="","",IFERROR(INDEX('DM_DiaDiemKham'!$B$2:$B$6,AGGREGATE(15,6,ROW('DM_DiaDiemKham'!$B$2:$B$6)-ROW('DM_DiaDiemKham'!$B$2)+1/ISNUMBER(SEARCH(SUBSTITUTE(UPPER($C383)," ",""),'DM_DiaDiemKham'!$C$2:$C$6)),1)),"Không tìm thấy"))</f>
        <v/>
      </c>
      <c r="G383" s="5">
        <f>IF($D383="","",IFERROR(INDEX('DM_HinhThucChiTra'!$B$2:$B$5,AGGREGATE(15,6,ROW('DM_HinhThucChiTra'!$B$2:$B$5)-ROW('DM_HinhThucChiTra'!$B$2)+1/ISNUMBER(SEARCH(SUBSTITUTE(UPPER($D383)," ",""),'DM_HinhThucChiTra'!$C$2:$C$5)),1)),"Không tìm thấy"))</f>
        <v/>
      </c>
      <c r="I383" s="5">
        <f>IF($E383="","",IFERROR(INDEX('DM_HinhThucKham'!$B$2:$B$3,AGGREGATE(15,6,ROW('DM_HinhThucKham'!$B$2:$B$3)-ROW('DM_HinhThucKham'!$B$2)+1/ISNUMBER(SEARCH(SUBSTITUTE(UPPER($E383)," ",""),'DM_HinhThucKham'!$C$2:$C$3)),1)),"Không tìm thấy"))</f>
        <v/>
      </c>
      <c r="P383" s="5">
        <f>IF($K383="","",IFERROR(INDEX('DM_DanToc'!$B$2:$B$78,AGGREGATE(15,6,ROW('DM_DanToc'!$B$2:$B$78)-ROW('DM_DanToc'!$B$2)+1/ISNUMBER(SEARCH(SUBSTITUTE(UPPER($K383)," ",""),'DM_DanToc'!$C$2:$C$78)),1)),"Không tìm thấy"))</f>
        <v/>
      </c>
      <c r="W383" s="5">
        <f>IF($Q383="","",IFERROR(INDEX('DM_TinhThanh'!$B$2:$B$35,AGGREGATE(15,6,ROW('DM_TinhThanh'!$B$2:$B$35)-ROW('DM_TinhThanh'!$B$2)+1/ISNUMBER(SEARCH(SUBSTITUTE(UPPER($Q383)," ",""),'DM_TinhThanh'!$C$2:$C$35)),1)),"Không tìm thấy"))</f>
        <v/>
      </c>
      <c r="Y383" s="5">
        <f>IF($R383="","",IFERROR(INDEX('DM_XaPhuong'!$B$2:$B$169,AGGREGATE(15,6,ROW('DM_XaPhuong'!$B$2:$B$169)-ROW('DM_XaPhuong'!$B$2)+1/ISNUMBER(SEARCH(SUBSTITUTE(UPPER($R383)," ",""),'DM_XaPhuong'!$C$2:$C$169)),1)),"Không tìm thấy"))</f>
        <v/>
      </c>
      <c r="AB383" s="5">
        <f>IF($T383="","",IFERROR(INDEX('DM_NgheNghiep'!$B$2:$B$11,AGGREGATE(15,6,ROW('DM_NgheNghiep'!$B$2:$B$11)-ROW('DM_NgheNghiep'!$B$2)+1/ISNUMBER(SEARCH(SUBSTITUTE(UPPER($T383)," ",""),'DM_NgheNghiep'!$C$2:$C$11)),1)),"Không tìm thấy"))</f>
        <v/>
      </c>
      <c r="AD383" s="5">
        <f>IF($U383="","",IFERROR(INDEX('DM_NoiCongTac'!$B$2:$B$11,AGGREGATE(15,6,ROW('DM_NoiCongTac'!$B$2:$B$11)-ROW('DM_NoiCongTac'!$B$2)+1/ISNUMBER(SEARCH(SUBSTITUTE(UPPER($U383)," ",""),'DM_NoiCongTac'!$C$2:$C$11)),1)),"Không tìm thấy"))</f>
        <v/>
      </c>
      <c r="AF383" s="5">
        <f>IF($V383="","",IFERROR(INDEX('DM_XaPhuong'!$B$2:$B$169,AGGREGATE(15,6,ROW('DM_XaPhuong'!$B$2:$B$169)-ROW('DM_XaPhuong'!$B$2)+1/ISNUMBER(SEARCH(SUBSTITUTE(UPPER($V383)," ",""),'DM_XaPhuong'!$C$2:$C$169)),1)),"Không tìm thấy"))</f>
        <v/>
      </c>
    </row>
    <row r="384">
      <c r="C384" s="5">
        <f>IF($B384="","",IFERROR(INDEX('DM_DoiTuong'!$B$2:$B$19,AGGREGATE(15,6,ROW('DM_DoiTuong'!$B$2:$B$19)-ROW('DM_DoiTuong'!$B$2)+1/ISNUMBER(SEARCH(SUBSTITUTE(UPPER($B384)," ",""),'DM_DoiTuong'!$C$2:$C$19)),1)),"Không tìm thấy"))</f>
        <v/>
      </c>
      <c r="E384" s="5">
        <f>IF($C384="","",IFERROR(INDEX('DM_DiaDiemKham'!$B$2:$B$6,AGGREGATE(15,6,ROW('DM_DiaDiemKham'!$B$2:$B$6)-ROW('DM_DiaDiemKham'!$B$2)+1/ISNUMBER(SEARCH(SUBSTITUTE(UPPER($C384)," ",""),'DM_DiaDiemKham'!$C$2:$C$6)),1)),"Không tìm thấy"))</f>
        <v/>
      </c>
      <c r="G384" s="5">
        <f>IF($D384="","",IFERROR(INDEX('DM_HinhThucChiTra'!$B$2:$B$5,AGGREGATE(15,6,ROW('DM_HinhThucChiTra'!$B$2:$B$5)-ROW('DM_HinhThucChiTra'!$B$2)+1/ISNUMBER(SEARCH(SUBSTITUTE(UPPER($D384)," ",""),'DM_HinhThucChiTra'!$C$2:$C$5)),1)),"Không tìm thấy"))</f>
        <v/>
      </c>
      <c r="I384" s="5">
        <f>IF($E384="","",IFERROR(INDEX('DM_HinhThucKham'!$B$2:$B$3,AGGREGATE(15,6,ROW('DM_HinhThucKham'!$B$2:$B$3)-ROW('DM_HinhThucKham'!$B$2)+1/ISNUMBER(SEARCH(SUBSTITUTE(UPPER($E384)," ",""),'DM_HinhThucKham'!$C$2:$C$3)),1)),"Không tìm thấy"))</f>
        <v/>
      </c>
      <c r="P384" s="5">
        <f>IF($K384="","",IFERROR(INDEX('DM_DanToc'!$B$2:$B$78,AGGREGATE(15,6,ROW('DM_DanToc'!$B$2:$B$78)-ROW('DM_DanToc'!$B$2)+1/ISNUMBER(SEARCH(SUBSTITUTE(UPPER($K384)," ",""),'DM_DanToc'!$C$2:$C$78)),1)),"Không tìm thấy"))</f>
        <v/>
      </c>
      <c r="W384" s="5">
        <f>IF($Q384="","",IFERROR(INDEX('DM_TinhThanh'!$B$2:$B$35,AGGREGATE(15,6,ROW('DM_TinhThanh'!$B$2:$B$35)-ROW('DM_TinhThanh'!$B$2)+1/ISNUMBER(SEARCH(SUBSTITUTE(UPPER($Q384)," ",""),'DM_TinhThanh'!$C$2:$C$35)),1)),"Không tìm thấy"))</f>
        <v/>
      </c>
      <c r="Y384" s="5">
        <f>IF($R384="","",IFERROR(INDEX('DM_XaPhuong'!$B$2:$B$169,AGGREGATE(15,6,ROW('DM_XaPhuong'!$B$2:$B$169)-ROW('DM_XaPhuong'!$B$2)+1/ISNUMBER(SEARCH(SUBSTITUTE(UPPER($R384)," ",""),'DM_XaPhuong'!$C$2:$C$169)),1)),"Không tìm thấy"))</f>
        <v/>
      </c>
      <c r="AB384" s="5">
        <f>IF($T384="","",IFERROR(INDEX('DM_NgheNghiep'!$B$2:$B$11,AGGREGATE(15,6,ROW('DM_NgheNghiep'!$B$2:$B$11)-ROW('DM_NgheNghiep'!$B$2)+1/ISNUMBER(SEARCH(SUBSTITUTE(UPPER($T384)," ",""),'DM_NgheNghiep'!$C$2:$C$11)),1)),"Không tìm thấy"))</f>
        <v/>
      </c>
      <c r="AD384" s="5">
        <f>IF($U384="","",IFERROR(INDEX('DM_NoiCongTac'!$B$2:$B$11,AGGREGATE(15,6,ROW('DM_NoiCongTac'!$B$2:$B$11)-ROW('DM_NoiCongTac'!$B$2)+1/ISNUMBER(SEARCH(SUBSTITUTE(UPPER($U384)," ",""),'DM_NoiCongTac'!$C$2:$C$11)),1)),"Không tìm thấy"))</f>
        <v/>
      </c>
      <c r="AF384" s="5">
        <f>IF($V384="","",IFERROR(INDEX('DM_XaPhuong'!$B$2:$B$169,AGGREGATE(15,6,ROW('DM_XaPhuong'!$B$2:$B$169)-ROW('DM_XaPhuong'!$B$2)+1/ISNUMBER(SEARCH(SUBSTITUTE(UPPER($V384)," ",""),'DM_XaPhuong'!$C$2:$C$169)),1)),"Không tìm thấy"))</f>
        <v/>
      </c>
    </row>
    <row r="385">
      <c r="C385" s="5">
        <f>IF($B385="","",IFERROR(INDEX('DM_DoiTuong'!$B$2:$B$19,AGGREGATE(15,6,ROW('DM_DoiTuong'!$B$2:$B$19)-ROW('DM_DoiTuong'!$B$2)+1/ISNUMBER(SEARCH(SUBSTITUTE(UPPER($B385)," ",""),'DM_DoiTuong'!$C$2:$C$19)),1)),"Không tìm thấy"))</f>
        <v/>
      </c>
      <c r="E385" s="5">
        <f>IF($C385="","",IFERROR(INDEX('DM_DiaDiemKham'!$B$2:$B$6,AGGREGATE(15,6,ROW('DM_DiaDiemKham'!$B$2:$B$6)-ROW('DM_DiaDiemKham'!$B$2)+1/ISNUMBER(SEARCH(SUBSTITUTE(UPPER($C385)," ",""),'DM_DiaDiemKham'!$C$2:$C$6)),1)),"Không tìm thấy"))</f>
        <v/>
      </c>
      <c r="G385" s="5">
        <f>IF($D385="","",IFERROR(INDEX('DM_HinhThucChiTra'!$B$2:$B$5,AGGREGATE(15,6,ROW('DM_HinhThucChiTra'!$B$2:$B$5)-ROW('DM_HinhThucChiTra'!$B$2)+1/ISNUMBER(SEARCH(SUBSTITUTE(UPPER($D385)," ",""),'DM_HinhThucChiTra'!$C$2:$C$5)),1)),"Không tìm thấy"))</f>
        <v/>
      </c>
      <c r="I385" s="5">
        <f>IF($E385="","",IFERROR(INDEX('DM_HinhThucKham'!$B$2:$B$3,AGGREGATE(15,6,ROW('DM_HinhThucKham'!$B$2:$B$3)-ROW('DM_HinhThucKham'!$B$2)+1/ISNUMBER(SEARCH(SUBSTITUTE(UPPER($E385)," ",""),'DM_HinhThucKham'!$C$2:$C$3)),1)),"Không tìm thấy"))</f>
        <v/>
      </c>
      <c r="P385" s="5">
        <f>IF($K385="","",IFERROR(INDEX('DM_DanToc'!$B$2:$B$78,AGGREGATE(15,6,ROW('DM_DanToc'!$B$2:$B$78)-ROW('DM_DanToc'!$B$2)+1/ISNUMBER(SEARCH(SUBSTITUTE(UPPER($K385)," ",""),'DM_DanToc'!$C$2:$C$78)),1)),"Không tìm thấy"))</f>
        <v/>
      </c>
      <c r="W385" s="5">
        <f>IF($Q385="","",IFERROR(INDEX('DM_TinhThanh'!$B$2:$B$35,AGGREGATE(15,6,ROW('DM_TinhThanh'!$B$2:$B$35)-ROW('DM_TinhThanh'!$B$2)+1/ISNUMBER(SEARCH(SUBSTITUTE(UPPER($Q385)," ",""),'DM_TinhThanh'!$C$2:$C$35)),1)),"Không tìm thấy"))</f>
        <v/>
      </c>
      <c r="Y385" s="5">
        <f>IF($R385="","",IFERROR(INDEX('DM_XaPhuong'!$B$2:$B$169,AGGREGATE(15,6,ROW('DM_XaPhuong'!$B$2:$B$169)-ROW('DM_XaPhuong'!$B$2)+1/ISNUMBER(SEARCH(SUBSTITUTE(UPPER($R385)," ",""),'DM_XaPhuong'!$C$2:$C$169)),1)),"Không tìm thấy"))</f>
        <v/>
      </c>
      <c r="AB385" s="5">
        <f>IF($T385="","",IFERROR(INDEX('DM_NgheNghiep'!$B$2:$B$11,AGGREGATE(15,6,ROW('DM_NgheNghiep'!$B$2:$B$11)-ROW('DM_NgheNghiep'!$B$2)+1/ISNUMBER(SEARCH(SUBSTITUTE(UPPER($T385)," ",""),'DM_NgheNghiep'!$C$2:$C$11)),1)),"Không tìm thấy"))</f>
        <v/>
      </c>
      <c r="AD385" s="5">
        <f>IF($U385="","",IFERROR(INDEX('DM_NoiCongTac'!$B$2:$B$11,AGGREGATE(15,6,ROW('DM_NoiCongTac'!$B$2:$B$11)-ROW('DM_NoiCongTac'!$B$2)+1/ISNUMBER(SEARCH(SUBSTITUTE(UPPER($U385)," ",""),'DM_NoiCongTac'!$C$2:$C$11)),1)),"Không tìm thấy"))</f>
        <v/>
      </c>
      <c r="AF385" s="5">
        <f>IF($V385="","",IFERROR(INDEX('DM_XaPhuong'!$B$2:$B$169,AGGREGATE(15,6,ROW('DM_XaPhuong'!$B$2:$B$169)-ROW('DM_XaPhuong'!$B$2)+1/ISNUMBER(SEARCH(SUBSTITUTE(UPPER($V385)," ",""),'DM_XaPhuong'!$C$2:$C$169)),1)),"Không tìm thấy"))</f>
        <v/>
      </c>
    </row>
    <row r="386">
      <c r="C386" s="5">
        <f>IF($B386="","",IFERROR(INDEX('DM_DoiTuong'!$B$2:$B$19,AGGREGATE(15,6,ROW('DM_DoiTuong'!$B$2:$B$19)-ROW('DM_DoiTuong'!$B$2)+1/ISNUMBER(SEARCH(SUBSTITUTE(UPPER($B386)," ",""),'DM_DoiTuong'!$C$2:$C$19)),1)),"Không tìm thấy"))</f>
        <v/>
      </c>
      <c r="E386" s="5">
        <f>IF($C386="","",IFERROR(INDEX('DM_DiaDiemKham'!$B$2:$B$6,AGGREGATE(15,6,ROW('DM_DiaDiemKham'!$B$2:$B$6)-ROW('DM_DiaDiemKham'!$B$2)+1/ISNUMBER(SEARCH(SUBSTITUTE(UPPER($C386)," ",""),'DM_DiaDiemKham'!$C$2:$C$6)),1)),"Không tìm thấy"))</f>
        <v/>
      </c>
      <c r="G386" s="5">
        <f>IF($D386="","",IFERROR(INDEX('DM_HinhThucChiTra'!$B$2:$B$5,AGGREGATE(15,6,ROW('DM_HinhThucChiTra'!$B$2:$B$5)-ROW('DM_HinhThucChiTra'!$B$2)+1/ISNUMBER(SEARCH(SUBSTITUTE(UPPER($D386)," ",""),'DM_HinhThucChiTra'!$C$2:$C$5)),1)),"Không tìm thấy"))</f>
        <v/>
      </c>
      <c r="I386" s="5">
        <f>IF($E386="","",IFERROR(INDEX('DM_HinhThucKham'!$B$2:$B$3,AGGREGATE(15,6,ROW('DM_HinhThucKham'!$B$2:$B$3)-ROW('DM_HinhThucKham'!$B$2)+1/ISNUMBER(SEARCH(SUBSTITUTE(UPPER($E386)," ",""),'DM_HinhThucKham'!$C$2:$C$3)),1)),"Không tìm thấy"))</f>
        <v/>
      </c>
      <c r="P386" s="5">
        <f>IF($K386="","",IFERROR(INDEX('DM_DanToc'!$B$2:$B$78,AGGREGATE(15,6,ROW('DM_DanToc'!$B$2:$B$78)-ROW('DM_DanToc'!$B$2)+1/ISNUMBER(SEARCH(SUBSTITUTE(UPPER($K386)," ",""),'DM_DanToc'!$C$2:$C$78)),1)),"Không tìm thấy"))</f>
        <v/>
      </c>
      <c r="W386" s="5">
        <f>IF($Q386="","",IFERROR(INDEX('DM_TinhThanh'!$B$2:$B$35,AGGREGATE(15,6,ROW('DM_TinhThanh'!$B$2:$B$35)-ROW('DM_TinhThanh'!$B$2)+1/ISNUMBER(SEARCH(SUBSTITUTE(UPPER($Q386)," ",""),'DM_TinhThanh'!$C$2:$C$35)),1)),"Không tìm thấy"))</f>
        <v/>
      </c>
      <c r="Y386" s="5">
        <f>IF($R386="","",IFERROR(INDEX('DM_XaPhuong'!$B$2:$B$169,AGGREGATE(15,6,ROW('DM_XaPhuong'!$B$2:$B$169)-ROW('DM_XaPhuong'!$B$2)+1/ISNUMBER(SEARCH(SUBSTITUTE(UPPER($R386)," ",""),'DM_XaPhuong'!$C$2:$C$169)),1)),"Không tìm thấy"))</f>
        <v/>
      </c>
      <c r="AB386" s="5">
        <f>IF($T386="","",IFERROR(INDEX('DM_NgheNghiep'!$B$2:$B$11,AGGREGATE(15,6,ROW('DM_NgheNghiep'!$B$2:$B$11)-ROW('DM_NgheNghiep'!$B$2)+1/ISNUMBER(SEARCH(SUBSTITUTE(UPPER($T386)," ",""),'DM_NgheNghiep'!$C$2:$C$11)),1)),"Không tìm thấy"))</f>
        <v/>
      </c>
      <c r="AD386" s="5">
        <f>IF($U386="","",IFERROR(INDEX('DM_NoiCongTac'!$B$2:$B$11,AGGREGATE(15,6,ROW('DM_NoiCongTac'!$B$2:$B$11)-ROW('DM_NoiCongTac'!$B$2)+1/ISNUMBER(SEARCH(SUBSTITUTE(UPPER($U386)," ",""),'DM_NoiCongTac'!$C$2:$C$11)),1)),"Không tìm thấy"))</f>
        <v/>
      </c>
      <c r="AF386" s="5">
        <f>IF($V386="","",IFERROR(INDEX('DM_XaPhuong'!$B$2:$B$169,AGGREGATE(15,6,ROW('DM_XaPhuong'!$B$2:$B$169)-ROW('DM_XaPhuong'!$B$2)+1/ISNUMBER(SEARCH(SUBSTITUTE(UPPER($V386)," ",""),'DM_XaPhuong'!$C$2:$C$169)),1)),"Không tìm thấy"))</f>
        <v/>
      </c>
    </row>
    <row r="387">
      <c r="C387" s="5">
        <f>IF($B387="","",IFERROR(INDEX('DM_DoiTuong'!$B$2:$B$19,AGGREGATE(15,6,ROW('DM_DoiTuong'!$B$2:$B$19)-ROW('DM_DoiTuong'!$B$2)+1/ISNUMBER(SEARCH(SUBSTITUTE(UPPER($B387)," ",""),'DM_DoiTuong'!$C$2:$C$19)),1)),"Không tìm thấy"))</f>
        <v/>
      </c>
      <c r="E387" s="5">
        <f>IF($C387="","",IFERROR(INDEX('DM_DiaDiemKham'!$B$2:$B$6,AGGREGATE(15,6,ROW('DM_DiaDiemKham'!$B$2:$B$6)-ROW('DM_DiaDiemKham'!$B$2)+1/ISNUMBER(SEARCH(SUBSTITUTE(UPPER($C387)," ",""),'DM_DiaDiemKham'!$C$2:$C$6)),1)),"Không tìm thấy"))</f>
        <v/>
      </c>
      <c r="G387" s="5">
        <f>IF($D387="","",IFERROR(INDEX('DM_HinhThucChiTra'!$B$2:$B$5,AGGREGATE(15,6,ROW('DM_HinhThucChiTra'!$B$2:$B$5)-ROW('DM_HinhThucChiTra'!$B$2)+1/ISNUMBER(SEARCH(SUBSTITUTE(UPPER($D387)," ",""),'DM_HinhThucChiTra'!$C$2:$C$5)),1)),"Không tìm thấy"))</f>
        <v/>
      </c>
      <c r="I387" s="5">
        <f>IF($E387="","",IFERROR(INDEX('DM_HinhThucKham'!$B$2:$B$3,AGGREGATE(15,6,ROW('DM_HinhThucKham'!$B$2:$B$3)-ROW('DM_HinhThucKham'!$B$2)+1/ISNUMBER(SEARCH(SUBSTITUTE(UPPER($E387)," ",""),'DM_HinhThucKham'!$C$2:$C$3)),1)),"Không tìm thấy"))</f>
        <v/>
      </c>
      <c r="P387" s="5">
        <f>IF($K387="","",IFERROR(INDEX('DM_DanToc'!$B$2:$B$78,AGGREGATE(15,6,ROW('DM_DanToc'!$B$2:$B$78)-ROW('DM_DanToc'!$B$2)+1/ISNUMBER(SEARCH(SUBSTITUTE(UPPER($K387)," ",""),'DM_DanToc'!$C$2:$C$78)),1)),"Không tìm thấy"))</f>
        <v/>
      </c>
      <c r="W387" s="5">
        <f>IF($Q387="","",IFERROR(INDEX('DM_TinhThanh'!$B$2:$B$35,AGGREGATE(15,6,ROW('DM_TinhThanh'!$B$2:$B$35)-ROW('DM_TinhThanh'!$B$2)+1/ISNUMBER(SEARCH(SUBSTITUTE(UPPER($Q387)," ",""),'DM_TinhThanh'!$C$2:$C$35)),1)),"Không tìm thấy"))</f>
        <v/>
      </c>
      <c r="Y387" s="5">
        <f>IF($R387="","",IFERROR(INDEX('DM_XaPhuong'!$B$2:$B$169,AGGREGATE(15,6,ROW('DM_XaPhuong'!$B$2:$B$169)-ROW('DM_XaPhuong'!$B$2)+1/ISNUMBER(SEARCH(SUBSTITUTE(UPPER($R387)," ",""),'DM_XaPhuong'!$C$2:$C$169)),1)),"Không tìm thấy"))</f>
        <v/>
      </c>
      <c r="AB387" s="5">
        <f>IF($T387="","",IFERROR(INDEX('DM_NgheNghiep'!$B$2:$B$11,AGGREGATE(15,6,ROW('DM_NgheNghiep'!$B$2:$B$11)-ROW('DM_NgheNghiep'!$B$2)+1/ISNUMBER(SEARCH(SUBSTITUTE(UPPER($T387)," ",""),'DM_NgheNghiep'!$C$2:$C$11)),1)),"Không tìm thấy"))</f>
        <v/>
      </c>
      <c r="AD387" s="5">
        <f>IF($U387="","",IFERROR(INDEX('DM_NoiCongTac'!$B$2:$B$11,AGGREGATE(15,6,ROW('DM_NoiCongTac'!$B$2:$B$11)-ROW('DM_NoiCongTac'!$B$2)+1/ISNUMBER(SEARCH(SUBSTITUTE(UPPER($U387)," ",""),'DM_NoiCongTac'!$C$2:$C$11)),1)),"Không tìm thấy"))</f>
        <v/>
      </c>
      <c r="AF387" s="5">
        <f>IF($V387="","",IFERROR(INDEX('DM_XaPhuong'!$B$2:$B$169,AGGREGATE(15,6,ROW('DM_XaPhuong'!$B$2:$B$169)-ROW('DM_XaPhuong'!$B$2)+1/ISNUMBER(SEARCH(SUBSTITUTE(UPPER($V387)," ",""),'DM_XaPhuong'!$C$2:$C$169)),1)),"Không tìm thấy"))</f>
        <v/>
      </c>
    </row>
    <row r="388">
      <c r="C388" s="5">
        <f>IF($B388="","",IFERROR(INDEX('DM_DoiTuong'!$B$2:$B$19,AGGREGATE(15,6,ROW('DM_DoiTuong'!$B$2:$B$19)-ROW('DM_DoiTuong'!$B$2)+1/ISNUMBER(SEARCH(SUBSTITUTE(UPPER($B388)," ",""),'DM_DoiTuong'!$C$2:$C$19)),1)),"Không tìm thấy"))</f>
        <v/>
      </c>
      <c r="E388" s="5">
        <f>IF($C388="","",IFERROR(INDEX('DM_DiaDiemKham'!$B$2:$B$6,AGGREGATE(15,6,ROW('DM_DiaDiemKham'!$B$2:$B$6)-ROW('DM_DiaDiemKham'!$B$2)+1/ISNUMBER(SEARCH(SUBSTITUTE(UPPER($C388)," ",""),'DM_DiaDiemKham'!$C$2:$C$6)),1)),"Không tìm thấy"))</f>
        <v/>
      </c>
      <c r="G388" s="5">
        <f>IF($D388="","",IFERROR(INDEX('DM_HinhThucChiTra'!$B$2:$B$5,AGGREGATE(15,6,ROW('DM_HinhThucChiTra'!$B$2:$B$5)-ROW('DM_HinhThucChiTra'!$B$2)+1/ISNUMBER(SEARCH(SUBSTITUTE(UPPER($D388)," ",""),'DM_HinhThucChiTra'!$C$2:$C$5)),1)),"Không tìm thấy"))</f>
        <v/>
      </c>
      <c r="I388" s="5">
        <f>IF($E388="","",IFERROR(INDEX('DM_HinhThucKham'!$B$2:$B$3,AGGREGATE(15,6,ROW('DM_HinhThucKham'!$B$2:$B$3)-ROW('DM_HinhThucKham'!$B$2)+1/ISNUMBER(SEARCH(SUBSTITUTE(UPPER($E388)," ",""),'DM_HinhThucKham'!$C$2:$C$3)),1)),"Không tìm thấy"))</f>
        <v/>
      </c>
      <c r="P388" s="5">
        <f>IF($K388="","",IFERROR(INDEX('DM_DanToc'!$B$2:$B$78,AGGREGATE(15,6,ROW('DM_DanToc'!$B$2:$B$78)-ROW('DM_DanToc'!$B$2)+1/ISNUMBER(SEARCH(SUBSTITUTE(UPPER($K388)," ",""),'DM_DanToc'!$C$2:$C$78)),1)),"Không tìm thấy"))</f>
        <v/>
      </c>
      <c r="W388" s="5">
        <f>IF($Q388="","",IFERROR(INDEX('DM_TinhThanh'!$B$2:$B$35,AGGREGATE(15,6,ROW('DM_TinhThanh'!$B$2:$B$35)-ROW('DM_TinhThanh'!$B$2)+1/ISNUMBER(SEARCH(SUBSTITUTE(UPPER($Q388)," ",""),'DM_TinhThanh'!$C$2:$C$35)),1)),"Không tìm thấy"))</f>
        <v/>
      </c>
      <c r="Y388" s="5">
        <f>IF($R388="","",IFERROR(INDEX('DM_XaPhuong'!$B$2:$B$169,AGGREGATE(15,6,ROW('DM_XaPhuong'!$B$2:$B$169)-ROW('DM_XaPhuong'!$B$2)+1/ISNUMBER(SEARCH(SUBSTITUTE(UPPER($R388)," ",""),'DM_XaPhuong'!$C$2:$C$169)),1)),"Không tìm thấy"))</f>
        <v/>
      </c>
      <c r="AB388" s="5">
        <f>IF($T388="","",IFERROR(INDEX('DM_NgheNghiep'!$B$2:$B$11,AGGREGATE(15,6,ROW('DM_NgheNghiep'!$B$2:$B$11)-ROW('DM_NgheNghiep'!$B$2)+1/ISNUMBER(SEARCH(SUBSTITUTE(UPPER($T388)," ",""),'DM_NgheNghiep'!$C$2:$C$11)),1)),"Không tìm thấy"))</f>
        <v/>
      </c>
      <c r="AD388" s="5">
        <f>IF($U388="","",IFERROR(INDEX('DM_NoiCongTac'!$B$2:$B$11,AGGREGATE(15,6,ROW('DM_NoiCongTac'!$B$2:$B$11)-ROW('DM_NoiCongTac'!$B$2)+1/ISNUMBER(SEARCH(SUBSTITUTE(UPPER($U388)," ",""),'DM_NoiCongTac'!$C$2:$C$11)),1)),"Không tìm thấy"))</f>
        <v/>
      </c>
      <c r="AF388" s="5">
        <f>IF($V388="","",IFERROR(INDEX('DM_XaPhuong'!$B$2:$B$169,AGGREGATE(15,6,ROW('DM_XaPhuong'!$B$2:$B$169)-ROW('DM_XaPhuong'!$B$2)+1/ISNUMBER(SEARCH(SUBSTITUTE(UPPER($V388)," ",""),'DM_XaPhuong'!$C$2:$C$169)),1)),"Không tìm thấy"))</f>
        <v/>
      </c>
    </row>
    <row r="389">
      <c r="C389" s="5">
        <f>IF($B389="","",IFERROR(INDEX('DM_DoiTuong'!$B$2:$B$19,AGGREGATE(15,6,ROW('DM_DoiTuong'!$B$2:$B$19)-ROW('DM_DoiTuong'!$B$2)+1/ISNUMBER(SEARCH(SUBSTITUTE(UPPER($B389)," ",""),'DM_DoiTuong'!$C$2:$C$19)),1)),"Không tìm thấy"))</f>
        <v/>
      </c>
      <c r="E389" s="5">
        <f>IF($C389="","",IFERROR(INDEX('DM_DiaDiemKham'!$B$2:$B$6,AGGREGATE(15,6,ROW('DM_DiaDiemKham'!$B$2:$B$6)-ROW('DM_DiaDiemKham'!$B$2)+1/ISNUMBER(SEARCH(SUBSTITUTE(UPPER($C389)," ",""),'DM_DiaDiemKham'!$C$2:$C$6)),1)),"Không tìm thấy"))</f>
        <v/>
      </c>
      <c r="G389" s="5">
        <f>IF($D389="","",IFERROR(INDEX('DM_HinhThucChiTra'!$B$2:$B$5,AGGREGATE(15,6,ROW('DM_HinhThucChiTra'!$B$2:$B$5)-ROW('DM_HinhThucChiTra'!$B$2)+1/ISNUMBER(SEARCH(SUBSTITUTE(UPPER($D389)," ",""),'DM_HinhThucChiTra'!$C$2:$C$5)),1)),"Không tìm thấy"))</f>
        <v/>
      </c>
      <c r="I389" s="5">
        <f>IF($E389="","",IFERROR(INDEX('DM_HinhThucKham'!$B$2:$B$3,AGGREGATE(15,6,ROW('DM_HinhThucKham'!$B$2:$B$3)-ROW('DM_HinhThucKham'!$B$2)+1/ISNUMBER(SEARCH(SUBSTITUTE(UPPER($E389)," ",""),'DM_HinhThucKham'!$C$2:$C$3)),1)),"Không tìm thấy"))</f>
        <v/>
      </c>
      <c r="P389" s="5">
        <f>IF($K389="","",IFERROR(INDEX('DM_DanToc'!$B$2:$B$78,AGGREGATE(15,6,ROW('DM_DanToc'!$B$2:$B$78)-ROW('DM_DanToc'!$B$2)+1/ISNUMBER(SEARCH(SUBSTITUTE(UPPER($K389)," ",""),'DM_DanToc'!$C$2:$C$78)),1)),"Không tìm thấy"))</f>
        <v/>
      </c>
      <c r="W389" s="5">
        <f>IF($Q389="","",IFERROR(INDEX('DM_TinhThanh'!$B$2:$B$35,AGGREGATE(15,6,ROW('DM_TinhThanh'!$B$2:$B$35)-ROW('DM_TinhThanh'!$B$2)+1/ISNUMBER(SEARCH(SUBSTITUTE(UPPER($Q389)," ",""),'DM_TinhThanh'!$C$2:$C$35)),1)),"Không tìm thấy"))</f>
        <v/>
      </c>
      <c r="Y389" s="5">
        <f>IF($R389="","",IFERROR(INDEX('DM_XaPhuong'!$B$2:$B$169,AGGREGATE(15,6,ROW('DM_XaPhuong'!$B$2:$B$169)-ROW('DM_XaPhuong'!$B$2)+1/ISNUMBER(SEARCH(SUBSTITUTE(UPPER($R389)," ",""),'DM_XaPhuong'!$C$2:$C$169)),1)),"Không tìm thấy"))</f>
        <v/>
      </c>
      <c r="AB389" s="5">
        <f>IF($T389="","",IFERROR(INDEX('DM_NgheNghiep'!$B$2:$B$11,AGGREGATE(15,6,ROW('DM_NgheNghiep'!$B$2:$B$11)-ROW('DM_NgheNghiep'!$B$2)+1/ISNUMBER(SEARCH(SUBSTITUTE(UPPER($T389)," ",""),'DM_NgheNghiep'!$C$2:$C$11)),1)),"Không tìm thấy"))</f>
        <v/>
      </c>
      <c r="AD389" s="5">
        <f>IF($U389="","",IFERROR(INDEX('DM_NoiCongTac'!$B$2:$B$11,AGGREGATE(15,6,ROW('DM_NoiCongTac'!$B$2:$B$11)-ROW('DM_NoiCongTac'!$B$2)+1/ISNUMBER(SEARCH(SUBSTITUTE(UPPER($U389)," ",""),'DM_NoiCongTac'!$C$2:$C$11)),1)),"Không tìm thấy"))</f>
        <v/>
      </c>
      <c r="AF389" s="5">
        <f>IF($V389="","",IFERROR(INDEX('DM_XaPhuong'!$B$2:$B$169,AGGREGATE(15,6,ROW('DM_XaPhuong'!$B$2:$B$169)-ROW('DM_XaPhuong'!$B$2)+1/ISNUMBER(SEARCH(SUBSTITUTE(UPPER($V389)," ",""),'DM_XaPhuong'!$C$2:$C$169)),1)),"Không tìm thấy"))</f>
        <v/>
      </c>
    </row>
    <row r="390">
      <c r="C390" s="5">
        <f>IF($B390="","",IFERROR(INDEX('DM_DoiTuong'!$B$2:$B$19,AGGREGATE(15,6,ROW('DM_DoiTuong'!$B$2:$B$19)-ROW('DM_DoiTuong'!$B$2)+1/ISNUMBER(SEARCH(SUBSTITUTE(UPPER($B390)," ",""),'DM_DoiTuong'!$C$2:$C$19)),1)),"Không tìm thấy"))</f>
        <v/>
      </c>
      <c r="E390" s="5">
        <f>IF($C390="","",IFERROR(INDEX('DM_DiaDiemKham'!$B$2:$B$6,AGGREGATE(15,6,ROW('DM_DiaDiemKham'!$B$2:$B$6)-ROW('DM_DiaDiemKham'!$B$2)+1/ISNUMBER(SEARCH(SUBSTITUTE(UPPER($C390)," ",""),'DM_DiaDiemKham'!$C$2:$C$6)),1)),"Không tìm thấy"))</f>
        <v/>
      </c>
      <c r="G390" s="5">
        <f>IF($D390="","",IFERROR(INDEX('DM_HinhThucChiTra'!$B$2:$B$5,AGGREGATE(15,6,ROW('DM_HinhThucChiTra'!$B$2:$B$5)-ROW('DM_HinhThucChiTra'!$B$2)+1/ISNUMBER(SEARCH(SUBSTITUTE(UPPER($D390)," ",""),'DM_HinhThucChiTra'!$C$2:$C$5)),1)),"Không tìm thấy"))</f>
        <v/>
      </c>
      <c r="I390" s="5">
        <f>IF($E390="","",IFERROR(INDEX('DM_HinhThucKham'!$B$2:$B$3,AGGREGATE(15,6,ROW('DM_HinhThucKham'!$B$2:$B$3)-ROW('DM_HinhThucKham'!$B$2)+1/ISNUMBER(SEARCH(SUBSTITUTE(UPPER($E390)," ",""),'DM_HinhThucKham'!$C$2:$C$3)),1)),"Không tìm thấy"))</f>
        <v/>
      </c>
      <c r="P390" s="5">
        <f>IF($K390="","",IFERROR(INDEX('DM_DanToc'!$B$2:$B$78,AGGREGATE(15,6,ROW('DM_DanToc'!$B$2:$B$78)-ROW('DM_DanToc'!$B$2)+1/ISNUMBER(SEARCH(SUBSTITUTE(UPPER($K390)," ",""),'DM_DanToc'!$C$2:$C$78)),1)),"Không tìm thấy"))</f>
        <v/>
      </c>
      <c r="W390" s="5">
        <f>IF($Q390="","",IFERROR(INDEX('DM_TinhThanh'!$B$2:$B$35,AGGREGATE(15,6,ROW('DM_TinhThanh'!$B$2:$B$35)-ROW('DM_TinhThanh'!$B$2)+1/ISNUMBER(SEARCH(SUBSTITUTE(UPPER($Q390)," ",""),'DM_TinhThanh'!$C$2:$C$35)),1)),"Không tìm thấy"))</f>
        <v/>
      </c>
      <c r="Y390" s="5">
        <f>IF($R390="","",IFERROR(INDEX('DM_XaPhuong'!$B$2:$B$169,AGGREGATE(15,6,ROW('DM_XaPhuong'!$B$2:$B$169)-ROW('DM_XaPhuong'!$B$2)+1/ISNUMBER(SEARCH(SUBSTITUTE(UPPER($R390)," ",""),'DM_XaPhuong'!$C$2:$C$169)),1)),"Không tìm thấy"))</f>
        <v/>
      </c>
      <c r="AB390" s="5">
        <f>IF($T390="","",IFERROR(INDEX('DM_NgheNghiep'!$B$2:$B$11,AGGREGATE(15,6,ROW('DM_NgheNghiep'!$B$2:$B$11)-ROW('DM_NgheNghiep'!$B$2)+1/ISNUMBER(SEARCH(SUBSTITUTE(UPPER($T390)," ",""),'DM_NgheNghiep'!$C$2:$C$11)),1)),"Không tìm thấy"))</f>
        <v/>
      </c>
      <c r="AD390" s="5">
        <f>IF($U390="","",IFERROR(INDEX('DM_NoiCongTac'!$B$2:$B$11,AGGREGATE(15,6,ROW('DM_NoiCongTac'!$B$2:$B$11)-ROW('DM_NoiCongTac'!$B$2)+1/ISNUMBER(SEARCH(SUBSTITUTE(UPPER($U390)," ",""),'DM_NoiCongTac'!$C$2:$C$11)),1)),"Không tìm thấy"))</f>
        <v/>
      </c>
      <c r="AF390" s="5">
        <f>IF($V390="","",IFERROR(INDEX('DM_XaPhuong'!$B$2:$B$169,AGGREGATE(15,6,ROW('DM_XaPhuong'!$B$2:$B$169)-ROW('DM_XaPhuong'!$B$2)+1/ISNUMBER(SEARCH(SUBSTITUTE(UPPER($V390)," ",""),'DM_XaPhuong'!$C$2:$C$169)),1)),"Không tìm thấy"))</f>
        <v/>
      </c>
    </row>
    <row r="391">
      <c r="C391" s="5">
        <f>IF($B391="","",IFERROR(INDEX('DM_DoiTuong'!$B$2:$B$19,AGGREGATE(15,6,ROW('DM_DoiTuong'!$B$2:$B$19)-ROW('DM_DoiTuong'!$B$2)+1/ISNUMBER(SEARCH(SUBSTITUTE(UPPER($B391)," ",""),'DM_DoiTuong'!$C$2:$C$19)),1)),"Không tìm thấy"))</f>
        <v/>
      </c>
      <c r="E391" s="5">
        <f>IF($C391="","",IFERROR(INDEX('DM_DiaDiemKham'!$B$2:$B$6,AGGREGATE(15,6,ROW('DM_DiaDiemKham'!$B$2:$B$6)-ROW('DM_DiaDiemKham'!$B$2)+1/ISNUMBER(SEARCH(SUBSTITUTE(UPPER($C391)," ",""),'DM_DiaDiemKham'!$C$2:$C$6)),1)),"Không tìm thấy"))</f>
        <v/>
      </c>
      <c r="G391" s="5">
        <f>IF($D391="","",IFERROR(INDEX('DM_HinhThucChiTra'!$B$2:$B$5,AGGREGATE(15,6,ROW('DM_HinhThucChiTra'!$B$2:$B$5)-ROW('DM_HinhThucChiTra'!$B$2)+1/ISNUMBER(SEARCH(SUBSTITUTE(UPPER($D391)," ",""),'DM_HinhThucChiTra'!$C$2:$C$5)),1)),"Không tìm thấy"))</f>
        <v/>
      </c>
      <c r="I391" s="5">
        <f>IF($E391="","",IFERROR(INDEX('DM_HinhThucKham'!$B$2:$B$3,AGGREGATE(15,6,ROW('DM_HinhThucKham'!$B$2:$B$3)-ROW('DM_HinhThucKham'!$B$2)+1/ISNUMBER(SEARCH(SUBSTITUTE(UPPER($E391)," ",""),'DM_HinhThucKham'!$C$2:$C$3)),1)),"Không tìm thấy"))</f>
        <v/>
      </c>
      <c r="P391" s="5">
        <f>IF($K391="","",IFERROR(INDEX('DM_DanToc'!$B$2:$B$78,AGGREGATE(15,6,ROW('DM_DanToc'!$B$2:$B$78)-ROW('DM_DanToc'!$B$2)+1/ISNUMBER(SEARCH(SUBSTITUTE(UPPER($K391)," ",""),'DM_DanToc'!$C$2:$C$78)),1)),"Không tìm thấy"))</f>
        <v/>
      </c>
      <c r="W391" s="5">
        <f>IF($Q391="","",IFERROR(INDEX('DM_TinhThanh'!$B$2:$B$35,AGGREGATE(15,6,ROW('DM_TinhThanh'!$B$2:$B$35)-ROW('DM_TinhThanh'!$B$2)+1/ISNUMBER(SEARCH(SUBSTITUTE(UPPER($Q391)," ",""),'DM_TinhThanh'!$C$2:$C$35)),1)),"Không tìm thấy"))</f>
        <v/>
      </c>
      <c r="Y391" s="5">
        <f>IF($R391="","",IFERROR(INDEX('DM_XaPhuong'!$B$2:$B$169,AGGREGATE(15,6,ROW('DM_XaPhuong'!$B$2:$B$169)-ROW('DM_XaPhuong'!$B$2)+1/ISNUMBER(SEARCH(SUBSTITUTE(UPPER($R391)," ",""),'DM_XaPhuong'!$C$2:$C$169)),1)),"Không tìm thấy"))</f>
        <v/>
      </c>
      <c r="AB391" s="5">
        <f>IF($T391="","",IFERROR(INDEX('DM_NgheNghiep'!$B$2:$B$11,AGGREGATE(15,6,ROW('DM_NgheNghiep'!$B$2:$B$11)-ROW('DM_NgheNghiep'!$B$2)+1/ISNUMBER(SEARCH(SUBSTITUTE(UPPER($T391)," ",""),'DM_NgheNghiep'!$C$2:$C$11)),1)),"Không tìm thấy"))</f>
        <v/>
      </c>
      <c r="AD391" s="5">
        <f>IF($U391="","",IFERROR(INDEX('DM_NoiCongTac'!$B$2:$B$11,AGGREGATE(15,6,ROW('DM_NoiCongTac'!$B$2:$B$11)-ROW('DM_NoiCongTac'!$B$2)+1/ISNUMBER(SEARCH(SUBSTITUTE(UPPER($U391)," ",""),'DM_NoiCongTac'!$C$2:$C$11)),1)),"Không tìm thấy"))</f>
        <v/>
      </c>
      <c r="AF391" s="5">
        <f>IF($V391="","",IFERROR(INDEX('DM_XaPhuong'!$B$2:$B$169,AGGREGATE(15,6,ROW('DM_XaPhuong'!$B$2:$B$169)-ROW('DM_XaPhuong'!$B$2)+1/ISNUMBER(SEARCH(SUBSTITUTE(UPPER($V391)," ",""),'DM_XaPhuong'!$C$2:$C$169)),1)),"Không tìm thấy"))</f>
        <v/>
      </c>
    </row>
    <row r="392">
      <c r="C392" s="5">
        <f>IF($B392="","",IFERROR(INDEX('DM_DoiTuong'!$B$2:$B$19,AGGREGATE(15,6,ROW('DM_DoiTuong'!$B$2:$B$19)-ROW('DM_DoiTuong'!$B$2)+1/ISNUMBER(SEARCH(SUBSTITUTE(UPPER($B392)," ",""),'DM_DoiTuong'!$C$2:$C$19)),1)),"Không tìm thấy"))</f>
        <v/>
      </c>
      <c r="E392" s="5">
        <f>IF($C392="","",IFERROR(INDEX('DM_DiaDiemKham'!$B$2:$B$6,AGGREGATE(15,6,ROW('DM_DiaDiemKham'!$B$2:$B$6)-ROW('DM_DiaDiemKham'!$B$2)+1/ISNUMBER(SEARCH(SUBSTITUTE(UPPER($C392)," ",""),'DM_DiaDiemKham'!$C$2:$C$6)),1)),"Không tìm thấy"))</f>
        <v/>
      </c>
      <c r="G392" s="5">
        <f>IF($D392="","",IFERROR(INDEX('DM_HinhThucChiTra'!$B$2:$B$5,AGGREGATE(15,6,ROW('DM_HinhThucChiTra'!$B$2:$B$5)-ROW('DM_HinhThucChiTra'!$B$2)+1/ISNUMBER(SEARCH(SUBSTITUTE(UPPER($D392)," ",""),'DM_HinhThucChiTra'!$C$2:$C$5)),1)),"Không tìm thấy"))</f>
        <v/>
      </c>
      <c r="I392" s="5">
        <f>IF($E392="","",IFERROR(INDEX('DM_HinhThucKham'!$B$2:$B$3,AGGREGATE(15,6,ROW('DM_HinhThucKham'!$B$2:$B$3)-ROW('DM_HinhThucKham'!$B$2)+1/ISNUMBER(SEARCH(SUBSTITUTE(UPPER($E392)," ",""),'DM_HinhThucKham'!$C$2:$C$3)),1)),"Không tìm thấy"))</f>
        <v/>
      </c>
      <c r="P392" s="5">
        <f>IF($K392="","",IFERROR(INDEX('DM_DanToc'!$B$2:$B$78,AGGREGATE(15,6,ROW('DM_DanToc'!$B$2:$B$78)-ROW('DM_DanToc'!$B$2)+1/ISNUMBER(SEARCH(SUBSTITUTE(UPPER($K392)," ",""),'DM_DanToc'!$C$2:$C$78)),1)),"Không tìm thấy"))</f>
        <v/>
      </c>
      <c r="W392" s="5">
        <f>IF($Q392="","",IFERROR(INDEX('DM_TinhThanh'!$B$2:$B$35,AGGREGATE(15,6,ROW('DM_TinhThanh'!$B$2:$B$35)-ROW('DM_TinhThanh'!$B$2)+1/ISNUMBER(SEARCH(SUBSTITUTE(UPPER($Q392)," ",""),'DM_TinhThanh'!$C$2:$C$35)),1)),"Không tìm thấy"))</f>
        <v/>
      </c>
      <c r="Y392" s="5">
        <f>IF($R392="","",IFERROR(INDEX('DM_XaPhuong'!$B$2:$B$169,AGGREGATE(15,6,ROW('DM_XaPhuong'!$B$2:$B$169)-ROW('DM_XaPhuong'!$B$2)+1/ISNUMBER(SEARCH(SUBSTITUTE(UPPER($R392)," ",""),'DM_XaPhuong'!$C$2:$C$169)),1)),"Không tìm thấy"))</f>
        <v/>
      </c>
      <c r="AB392" s="5">
        <f>IF($T392="","",IFERROR(INDEX('DM_NgheNghiep'!$B$2:$B$11,AGGREGATE(15,6,ROW('DM_NgheNghiep'!$B$2:$B$11)-ROW('DM_NgheNghiep'!$B$2)+1/ISNUMBER(SEARCH(SUBSTITUTE(UPPER($T392)," ",""),'DM_NgheNghiep'!$C$2:$C$11)),1)),"Không tìm thấy"))</f>
        <v/>
      </c>
      <c r="AD392" s="5">
        <f>IF($U392="","",IFERROR(INDEX('DM_NoiCongTac'!$B$2:$B$11,AGGREGATE(15,6,ROW('DM_NoiCongTac'!$B$2:$B$11)-ROW('DM_NoiCongTac'!$B$2)+1/ISNUMBER(SEARCH(SUBSTITUTE(UPPER($U392)," ",""),'DM_NoiCongTac'!$C$2:$C$11)),1)),"Không tìm thấy"))</f>
        <v/>
      </c>
      <c r="AF392" s="5">
        <f>IF($V392="","",IFERROR(INDEX('DM_XaPhuong'!$B$2:$B$169,AGGREGATE(15,6,ROW('DM_XaPhuong'!$B$2:$B$169)-ROW('DM_XaPhuong'!$B$2)+1/ISNUMBER(SEARCH(SUBSTITUTE(UPPER($V392)," ",""),'DM_XaPhuong'!$C$2:$C$169)),1)),"Không tìm thấy"))</f>
        <v/>
      </c>
    </row>
    <row r="393">
      <c r="C393" s="5">
        <f>IF($B393="","",IFERROR(INDEX('DM_DoiTuong'!$B$2:$B$19,AGGREGATE(15,6,ROW('DM_DoiTuong'!$B$2:$B$19)-ROW('DM_DoiTuong'!$B$2)+1/ISNUMBER(SEARCH(SUBSTITUTE(UPPER($B393)," ",""),'DM_DoiTuong'!$C$2:$C$19)),1)),"Không tìm thấy"))</f>
        <v/>
      </c>
      <c r="E393" s="5">
        <f>IF($C393="","",IFERROR(INDEX('DM_DiaDiemKham'!$B$2:$B$6,AGGREGATE(15,6,ROW('DM_DiaDiemKham'!$B$2:$B$6)-ROW('DM_DiaDiemKham'!$B$2)+1/ISNUMBER(SEARCH(SUBSTITUTE(UPPER($C393)," ",""),'DM_DiaDiemKham'!$C$2:$C$6)),1)),"Không tìm thấy"))</f>
        <v/>
      </c>
      <c r="G393" s="5">
        <f>IF($D393="","",IFERROR(INDEX('DM_HinhThucChiTra'!$B$2:$B$5,AGGREGATE(15,6,ROW('DM_HinhThucChiTra'!$B$2:$B$5)-ROW('DM_HinhThucChiTra'!$B$2)+1/ISNUMBER(SEARCH(SUBSTITUTE(UPPER($D393)," ",""),'DM_HinhThucChiTra'!$C$2:$C$5)),1)),"Không tìm thấy"))</f>
        <v/>
      </c>
      <c r="I393" s="5">
        <f>IF($E393="","",IFERROR(INDEX('DM_HinhThucKham'!$B$2:$B$3,AGGREGATE(15,6,ROW('DM_HinhThucKham'!$B$2:$B$3)-ROW('DM_HinhThucKham'!$B$2)+1/ISNUMBER(SEARCH(SUBSTITUTE(UPPER($E393)," ",""),'DM_HinhThucKham'!$C$2:$C$3)),1)),"Không tìm thấy"))</f>
        <v/>
      </c>
      <c r="P393" s="5">
        <f>IF($K393="","",IFERROR(INDEX('DM_DanToc'!$B$2:$B$78,AGGREGATE(15,6,ROW('DM_DanToc'!$B$2:$B$78)-ROW('DM_DanToc'!$B$2)+1/ISNUMBER(SEARCH(SUBSTITUTE(UPPER($K393)," ",""),'DM_DanToc'!$C$2:$C$78)),1)),"Không tìm thấy"))</f>
        <v/>
      </c>
      <c r="W393" s="5">
        <f>IF($Q393="","",IFERROR(INDEX('DM_TinhThanh'!$B$2:$B$35,AGGREGATE(15,6,ROW('DM_TinhThanh'!$B$2:$B$35)-ROW('DM_TinhThanh'!$B$2)+1/ISNUMBER(SEARCH(SUBSTITUTE(UPPER($Q393)," ",""),'DM_TinhThanh'!$C$2:$C$35)),1)),"Không tìm thấy"))</f>
        <v/>
      </c>
      <c r="Y393" s="5">
        <f>IF($R393="","",IFERROR(INDEX('DM_XaPhuong'!$B$2:$B$169,AGGREGATE(15,6,ROW('DM_XaPhuong'!$B$2:$B$169)-ROW('DM_XaPhuong'!$B$2)+1/ISNUMBER(SEARCH(SUBSTITUTE(UPPER($R393)," ",""),'DM_XaPhuong'!$C$2:$C$169)),1)),"Không tìm thấy"))</f>
        <v/>
      </c>
      <c r="AB393" s="5">
        <f>IF($T393="","",IFERROR(INDEX('DM_NgheNghiep'!$B$2:$B$11,AGGREGATE(15,6,ROW('DM_NgheNghiep'!$B$2:$B$11)-ROW('DM_NgheNghiep'!$B$2)+1/ISNUMBER(SEARCH(SUBSTITUTE(UPPER($T393)," ",""),'DM_NgheNghiep'!$C$2:$C$11)),1)),"Không tìm thấy"))</f>
        <v/>
      </c>
      <c r="AD393" s="5">
        <f>IF($U393="","",IFERROR(INDEX('DM_NoiCongTac'!$B$2:$B$11,AGGREGATE(15,6,ROW('DM_NoiCongTac'!$B$2:$B$11)-ROW('DM_NoiCongTac'!$B$2)+1/ISNUMBER(SEARCH(SUBSTITUTE(UPPER($U393)," ",""),'DM_NoiCongTac'!$C$2:$C$11)),1)),"Không tìm thấy"))</f>
        <v/>
      </c>
      <c r="AF393" s="5">
        <f>IF($V393="","",IFERROR(INDEX('DM_XaPhuong'!$B$2:$B$169,AGGREGATE(15,6,ROW('DM_XaPhuong'!$B$2:$B$169)-ROW('DM_XaPhuong'!$B$2)+1/ISNUMBER(SEARCH(SUBSTITUTE(UPPER($V393)," ",""),'DM_XaPhuong'!$C$2:$C$169)),1)),"Không tìm thấy"))</f>
        <v/>
      </c>
    </row>
    <row r="394">
      <c r="C394" s="5">
        <f>IF($B394="","",IFERROR(INDEX('DM_DoiTuong'!$B$2:$B$19,AGGREGATE(15,6,ROW('DM_DoiTuong'!$B$2:$B$19)-ROW('DM_DoiTuong'!$B$2)+1/ISNUMBER(SEARCH(SUBSTITUTE(UPPER($B394)," ",""),'DM_DoiTuong'!$C$2:$C$19)),1)),"Không tìm thấy"))</f>
        <v/>
      </c>
      <c r="E394" s="5">
        <f>IF($C394="","",IFERROR(INDEX('DM_DiaDiemKham'!$B$2:$B$6,AGGREGATE(15,6,ROW('DM_DiaDiemKham'!$B$2:$B$6)-ROW('DM_DiaDiemKham'!$B$2)+1/ISNUMBER(SEARCH(SUBSTITUTE(UPPER($C394)," ",""),'DM_DiaDiemKham'!$C$2:$C$6)),1)),"Không tìm thấy"))</f>
        <v/>
      </c>
      <c r="G394" s="5">
        <f>IF($D394="","",IFERROR(INDEX('DM_HinhThucChiTra'!$B$2:$B$5,AGGREGATE(15,6,ROW('DM_HinhThucChiTra'!$B$2:$B$5)-ROW('DM_HinhThucChiTra'!$B$2)+1/ISNUMBER(SEARCH(SUBSTITUTE(UPPER($D394)," ",""),'DM_HinhThucChiTra'!$C$2:$C$5)),1)),"Không tìm thấy"))</f>
        <v/>
      </c>
      <c r="I394" s="5">
        <f>IF($E394="","",IFERROR(INDEX('DM_HinhThucKham'!$B$2:$B$3,AGGREGATE(15,6,ROW('DM_HinhThucKham'!$B$2:$B$3)-ROW('DM_HinhThucKham'!$B$2)+1/ISNUMBER(SEARCH(SUBSTITUTE(UPPER($E394)," ",""),'DM_HinhThucKham'!$C$2:$C$3)),1)),"Không tìm thấy"))</f>
        <v/>
      </c>
      <c r="P394" s="5">
        <f>IF($K394="","",IFERROR(INDEX('DM_DanToc'!$B$2:$B$78,AGGREGATE(15,6,ROW('DM_DanToc'!$B$2:$B$78)-ROW('DM_DanToc'!$B$2)+1/ISNUMBER(SEARCH(SUBSTITUTE(UPPER($K394)," ",""),'DM_DanToc'!$C$2:$C$78)),1)),"Không tìm thấy"))</f>
        <v/>
      </c>
      <c r="W394" s="5">
        <f>IF($Q394="","",IFERROR(INDEX('DM_TinhThanh'!$B$2:$B$35,AGGREGATE(15,6,ROW('DM_TinhThanh'!$B$2:$B$35)-ROW('DM_TinhThanh'!$B$2)+1/ISNUMBER(SEARCH(SUBSTITUTE(UPPER($Q394)," ",""),'DM_TinhThanh'!$C$2:$C$35)),1)),"Không tìm thấy"))</f>
        <v/>
      </c>
      <c r="Y394" s="5">
        <f>IF($R394="","",IFERROR(INDEX('DM_XaPhuong'!$B$2:$B$169,AGGREGATE(15,6,ROW('DM_XaPhuong'!$B$2:$B$169)-ROW('DM_XaPhuong'!$B$2)+1/ISNUMBER(SEARCH(SUBSTITUTE(UPPER($R394)," ",""),'DM_XaPhuong'!$C$2:$C$169)),1)),"Không tìm thấy"))</f>
        <v/>
      </c>
      <c r="AB394" s="5">
        <f>IF($T394="","",IFERROR(INDEX('DM_NgheNghiep'!$B$2:$B$11,AGGREGATE(15,6,ROW('DM_NgheNghiep'!$B$2:$B$11)-ROW('DM_NgheNghiep'!$B$2)+1/ISNUMBER(SEARCH(SUBSTITUTE(UPPER($T394)," ",""),'DM_NgheNghiep'!$C$2:$C$11)),1)),"Không tìm thấy"))</f>
        <v/>
      </c>
      <c r="AD394" s="5">
        <f>IF($U394="","",IFERROR(INDEX('DM_NoiCongTac'!$B$2:$B$11,AGGREGATE(15,6,ROW('DM_NoiCongTac'!$B$2:$B$11)-ROW('DM_NoiCongTac'!$B$2)+1/ISNUMBER(SEARCH(SUBSTITUTE(UPPER($U394)," ",""),'DM_NoiCongTac'!$C$2:$C$11)),1)),"Không tìm thấy"))</f>
        <v/>
      </c>
      <c r="AF394" s="5">
        <f>IF($V394="","",IFERROR(INDEX('DM_XaPhuong'!$B$2:$B$169,AGGREGATE(15,6,ROW('DM_XaPhuong'!$B$2:$B$169)-ROW('DM_XaPhuong'!$B$2)+1/ISNUMBER(SEARCH(SUBSTITUTE(UPPER($V394)," ",""),'DM_XaPhuong'!$C$2:$C$169)),1)),"Không tìm thấy"))</f>
        <v/>
      </c>
    </row>
    <row r="395">
      <c r="C395" s="5">
        <f>IF($B395="","",IFERROR(INDEX('DM_DoiTuong'!$B$2:$B$19,AGGREGATE(15,6,ROW('DM_DoiTuong'!$B$2:$B$19)-ROW('DM_DoiTuong'!$B$2)+1/ISNUMBER(SEARCH(SUBSTITUTE(UPPER($B395)," ",""),'DM_DoiTuong'!$C$2:$C$19)),1)),"Không tìm thấy"))</f>
        <v/>
      </c>
      <c r="E395" s="5">
        <f>IF($C395="","",IFERROR(INDEX('DM_DiaDiemKham'!$B$2:$B$6,AGGREGATE(15,6,ROW('DM_DiaDiemKham'!$B$2:$B$6)-ROW('DM_DiaDiemKham'!$B$2)+1/ISNUMBER(SEARCH(SUBSTITUTE(UPPER($C395)," ",""),'DM_DiaDiemKham'!$C$2:$C$6)),1)),"Không tìm thấy"))</f>
        <v/>
      </c>
      <c r="G395" s="5">
        <f>IF($D395="","",IFERROR(INDEX('DM_HinhThucChiTra'!$B$2:$B$5,AGGREGATE(15,6,ROW('DM_HinhThucChiTra'!$B$2:$B$5)-ROW('DM_HinhThucChiTra'!$B$2)+1/ISNUMBER(SEARCH(SUBSTITUTE(UPPER($D395)," ",""),'DM_HinhThucChiTra'!$C$2:$C$5)),1)),"Không tìm thấy"))</f>
        <v/>
      </c>
      <c r="I395" s="5">
        <f>IF($E395="","",IFERROR(INDEX('DM_HinhThucKham'!$B$2:$B$3,AGGREGATE(15,6,ROW('DM_HinhThucKham'!$B$2:$B$3)-ROW('DM_HinhThucKham'!$B$2)+1/ISNUMBER(SEARCH(SUBSTITUTE(UPPER($E395)," ",""),'DM_HinhThucKham'!$C$2:$C$3)),1)),"Không tìm thấy"))</f>
        <v/>
      </c>
      <c r="P395" s="5">
        <f>IF($K395="","",IFERROR(INDEX('DM_DanToc'!$B$2:$B$78,AGGREGATE(15,6,ROW('DM_DanToc'!$B$2:$B$78)-ROW('DM_DanToc'!$B$2)+1/ISNUMBER(SEARCH(SUBSTITUTE(UPPER($K395)," ",""),'DM_DanToc'!$C$2:$C$78)),1)),"Không tìm thấy"))</f>
        <v/>
      </c>
      <c r="W395" s="5">
        <f>IF($Q395="","",IFERROR(INDEX('DM_TinhThanh'!$B$2:$B$35,AGGREGATE(15,6,ROW('DM_TinhThanh'!$B$2:$B$35)-ROW('DM_TinhThanh'!$B$2)+1/ISNUMBER(SEARCH(SUBSTITUTE(UPPER($Q395)," ",""),'DM_TinhThanh'!$C$2:$C$35)),1)),"Không tìm thấy"))</f>
        <v/>
      </c>
      <c r="Y395" s="5">
        <f>IF($R395="","",IFERROR(INDEX('DM_XaPhuong'!$B$2:$B$169,AGGREGATE(15,6,ROW('DM_XaPhuong'!$B$2:$B$169)-ROW('DM_XaPhuong'!$B$2)+1/ISNUMBER(SEARCH(SUBSTITUTE(UPPER($R395)," ",""),'DM_XaPhuong'!$C$2:$C$169)),1)),"Không tìm thấy"))</f>
        <v/>
      </c>
      <c r="AB395" s="5">
        <f>IF($T395="","",IFERROR(INDEX('DM_NgheNghiep'!$B$2:$B$11,AGGREGATE(15,6,ROW('DM_NgheNghiep'!$B$2:$B$11)-ROW('DM_NgheNghiep'!$B$2)+1/ISNUMBER(SEARCH(SUBSTITUTE(UPPER($T395)," ",""),'DM_NgheNghiep'!$C$2:$C$11)),1)),"Không tìm thấy"))</f>
        <v/>
      </c>
      <c r="AD395" s="5">
        <f>IF($U395="","",IFERROR(INDEX('DM_NoiCongTac'!$B$2:$B$11,AGGREGATE(15,6,ROW('DM_NoiCongTac'!$B$2:$B$11)-ROW('DM_NoiCongTac'!$B$2)+1/ISNUMBER(SEARCH(SUBSTITUTE(UPPER($U395)," ",""),'DM_NoiCongTac'!$C$2:$C$11)),1)),"Không tìm thấy"))</f>
        <v/>
      </c>
      <c r="AF395" s="5">
        <f>IF($V395="","",IFERROR(INDEX('DM_XaPhuong'!$B$2:$B$169,AGGREGATE(15,6,ROW('DM_XaPhuong'!$B$2:$B$169)-ROW('DM_XaPhuong'!$B$2)+1/ISNUMBER(SEARCH(SUBSTITUTE(UPPER($V395)," ",""),'DM_XaPhuong'!$C$2:$C$169)),1)),"Không tìm thấy"))</f>
        <v/>
      </c>
    </row>
    <row r="396">
      <c r="C396" s="5">
        <f>IF($B396="","",IFERROR(INDEX('DM_DoiTuong'!$B$2:$B$19,AGGREGATE(15,6,ROW('DM_DoiTuong'!$B$2:$B$19)-ROW('DM_DoiTuong'!$B$2)+1/ISNUMBER(SEARCH(SUBSTITUTE(UPPER($B396)," ",""),'DM_DoiTuong'!$C$2:$C$19)),1)),"Không tìm thấy"))</f>
        <v/>
      </c>
      <c r="E396" s="5">
        <f>IF($C396="","",IFERROR(INDEX('DM_DiaDiemKham'!$B$2:$B$6,AGGREGATE(15,6,ROW('DM_DiaDiemKham'!$B$2:$B$6)-ROW('DM_DiaDiemKham'!$B$2)+1/ISNUMBER(SEARCH(SUBSTITUTE(UPPER($C396)," ",""),'DM_DiaDiemKham'!$C$2:$C$6)),1)),"Không tìm thấy"))</f>
        <v/>
      </c>
      <c r="G396" s="5">
        <f>IF($D396="","",IFERROR(INDEX('DM_HinhThucChiTra'!$B$2:$B$5,AGGREGATE(15,6,ROW('DM_HinhThucChiTra'!$B$2:$B$5)-ROW('DM_HinhThucChiTra'!$B$2)+1/ISNUMBER(SEARCH(SUBSTITUTE(UPPER($D396)," ",""),'DM_HinhThucChiTra'!$C$2:$C$5)),1)),"Không tìm thấy"))</f>
        <v/>
      </c>
      <c r="I396" s="5">
        <f>IF($E396="","",IFERROR(INDEX('DM_HinhThucKham'!$B$2:$B$3,AGGREGATE(15,6,ROW('DM_HinhThucKham'!$B$2:$B$3)-ROW('DM_HinhThucKham'!$B$2)+1/ISNUMBER(SEARCH(SUBSTITUTE(UPPER($E396)," ",""),'DM_HinhThucKham'!$C$2:$C$3)),1)),"Không tìm thấy"))</f>
        <v/>
      </c>
      <c r="P396" s="5">
        <f>IF($K396="","",IFERROR(INDEX('DM_DanToc'!$B$2:$B$78,AGGREGATE(15,6,ROW('DM_DanToc'!$B$2:$B$78)-ROW('DM_DanToc'!$B$2)+1/ISNUMBER(SEARCH(SUBSTITUTE(UPPER($K396)," ",""),'DM_DanToc'!$C$2:$C$78)),1)),"Không tìm thấy"))</f>
        <v/>
      </c>
      <c r="W396" s="5">
        <f>IF($Q396="","",IFERROR(INDEX('DM_TinhThanh'!$B$2:$B$35,AGGREGATE(15,6,ROW('DM_TinhThanh'!$B$2:$B$35)-ROW('DM_TinhThanh'!$B$2)+1/ISNUMBER(SEARCH(SUBSTITUTE(UPPER($Q396)," ",""),'DM_TinhThanh'!$C$2:$C$35)),1)),"Không tìm thấy"))</f>
        <v/>
      </c>
      <c r="Y396" s="5">
        <f>IF($R396="","",IFERROR(INDEX('DM_XaPhuong'!$B$2:$B$169,AGGREGATE(15,6,ROW('DM_XaPhuong'!$B$2:$B$169)-ROW('DM_XaPhuong'!$B$2)+1/ISNUMBER(SEARCH(SUBSTITUTE(UPPER($R396)," ",""),'DM_XaPhuong'!$C$2:$C$169)),1)),"Không tìm thấy"))</f>
        <v/>
      </c>
      <c r="AB396" s="5">
        <f>IF($T396="","",IFERROR(INDEX('DM_NgheNghiep'!$B$2:$B$11,AGGREGATE(15,6,ROW('DM_NgheNghiep'!$B$2:$B$11)-ROW('DM_NgheNghiep'!$B$2)+1/ISNUMBER(SEARCH(SUBSTITUTE(UPPER($T396)," ",""),'DM_NgheNghiep'!$C$2:$C$11)),1)),"Không tìm thấy"))</f>
        <v/>
      </c>
      <c r="AD396" s="5">
        <f>IF($U396="","",IFERROR(INDEX('DM_NoiCongTac'!$B$2:$B$11,AGGREGATE(15,6,ROW('DM_NoiCongTac'!$B$2:$B$11)-ROW('DM_NoiCongTac'!$B$2)+1/ISNUMBER(SEARCH(SUBSTITUTE(UPPER($U396)," ",""),'DM_NoiCongTac'!$C$2:$C$11)),1)),"Không tìm thấy"))</f>
        <v/>
      </c>
      <c r="AF396" s="5">
        <f>IF($V396="","",IFERROR(INDEX('DM_XaPhuong'!$B$2:$B$169,AGGREGATE(15,6,ROW('DM_XaPhuong'!$B$2:$B$169)-ROW('DM_XaPhuong'!$B$2)+1/ISNUMBER(SEARCH(SUBSTITUTE(UPPER($V396)," ",""),'DM_XaPhuong'!$C$2:$C$169)),1)),"Không tìm thấy"))</f>
        <v/>
      </c>
    </row>
    <row r="397">
      <c r="C397" s="5">
        <f>IF($B397="","",IFERROR(INDEX('DM_DoiTuong'!$B$2:$B$19,AGGREGATE(15,6,ROW('DM_DoiTuong'!$B$2:$B$19)-ROW('DM_DoiTuong'!$B$2)+1/ISNUMBER(SEARCH(SUBSTITUTE(UPPER($B397)," ",""),'DM_DoiTuong'!$C$2:$C$19)),1)),"Không tìm thấy"))</f>
        <v/>
      </c>
      <c r="E397" s="5">
        <f>IF($C397="","",IFERROR(INDEX('DM_DiaDiemKham'!$B$2:$B$6,AGGREGATE(15,6,ROW('DM_DiaDiemKham'!$B$2:$B$6)-ROW('DM_DiaDiemKham'!$B$2)+1/ISNUMBER(SEARCH(SUBSTITUTE(UPPER($C397)," ",""),'DM_DiaDiemKham'!$C$2:$C$6)),1)),"Không tìm thấy"))</f>
        <v/>
      </c>
      <c r="G397" s="5">
        <f>IF($D397="","",IFERROR(INDEX('DM_HinhThucChiTra'!$B$2:$B$5,AGGREGATE(15,6,ROW('DM_HinhThucChiTra'!$B$2:$B$5)-ROW('DM_HinhThucChiTra'!$B$2)+1/ISNUMBER(SEARCH(SUBSTITUTE(UPPER($D397)," ",""),'DM_HinhThucChiTra'!$C$2:$C$5)),1)),"Không tìm thấy"))</f>
        <v/>
      </c>
      <c r="I397" s="5">
        <f>IF($E397="","",IFERROR(INDEX('DM_HinhThucKham'!$B$2:$B$3,AGGREGATE(15,6,ROW('DM_HinhThucKham'!$B$2:$B$3)-ROW('DM_HinhThucKham'!$B$2)+1/ISNUMBER(SEARCH(SUBSTITUTE(UPPER($E397)," ",""),'DM_HinhThucKham'!$C$2:$C$3)),1)),"Không tìm thấy"))</f>
        <v/>
      </c>
      <c r="P397" s="5">
        <f>IF($K397="","",IFERROR(INDEX('DM_DanToc'!$B$2:$B$78,AGGREGATE(15,6,ROW('DM_DanToc'!$B$2:$B$78)-ROW('DM_DanToc'!$B$2)+1/ISNUMBER(SEARCH(SUBSTITUTE(UPPER($K397)," ",""),'DM_DanToc'!$C$2:$C$78)),1)),"Không tìm thấy"))</f>
        <v/>
      </c>
      <c r="W397" s="5">
        <f>IF($Q397="","",IFERROR(INDEX('DM_TinhThanh'!$B$2:$B$35,AGGREGATE(15,6,ROW('DM_TinhThanh'!$B$2:$B$35)-ROW('DM_TinhThanh'!$B$2)+1/ISNUMBER(SEARCH(SUBSTITUTE(UPPER($Q397)," ",""),'DM_TinhThanh'!$C$2:$C$35)),1)),"Không tìm thấy"))</f>
        <v/>
      </c>
      <c r="Y397" s="5">
        <f>IF($R397="","",IFERROR(INDEX('DM_XaPhuong'!$B$2:$B$169,AGGREGATE(15,6,ROW('DM_XaPhuong'!$B$2:$B$169)-ROW('DM_XaPhuong'!$B$2)+1/ISNUMBER(SEARCH(SUBSTITUTE(UPPER($R397)," ",""),'DM_XaPhuong'!$C$2:$C$169)),1)),"Không tìm thấy"))</f>
        <v/>
      </c>
      <c r="AB397" s="5">
        <f>IF($T397="","",IFERROR(INDEX('DM_NgheNghiep'!$B$2:$B$11,AGGREGATE(15,6,ROW('DM_NgheNghiep'!$B$2:$B$11)-ROW('DM_NgheNghiep'!$B$2)+1/ISNUMBER(SEARCH(SUBSTITUTE(UPPER($T397)," ",""),'DM_NgheNghiep'!$C$2:$C$11)),1)),"Không tìm thấy"))</f>
        <v/>
      </c>
      <c r="AD397" s="5">
        <f>IF($U397="","",IFERROR(INDEX('DM_NoiCongTac'!$B$2:$B$11,AGGREGATE(15,6,ROW('DM_NoiCongTac'!$B$2:$B$11)-ROW('DM_NoiCongTac'!$B$2)+1/ISNUMBER(SEARCH(SUBSTITUTE(UPPER($U397)," ",""),'DM_NoiCongTac'!$C$2:$C$11)),1)),"Không tìm thấy"))</f>
        <v/>
      </c>
      <c r="AF397" s="5">
        <f>IF($V397="","",IFERROR(INDEX('DM_XaPhuong'!$B$2:$B$169,AGGREGATE(15,6,ROW('DM_XaPhuong'!$B$2:$B$169)-ROW('DM_XaPhuong'!$B$2)+1/ISNUMBER(SEARCH(SUBSTITUTE(UPPER($V397)," ",""),'DM_XaPhuong'!$C$2:$C$169)),1)),"Không tìm thấy"))</f>
        <v/>
      </c>
    </row>
    <row r="398">
      <c r="C398" s="5">
        <f>IF($B398="","",IFERROR(INDEX('DM_DoiTuong'!$B$2:$B$19,AGGREGATE(15,6,ROW('DM_DoiTuong'!$B$2:$B$19)-ROW('DM_DoiTuong'!$B$2)+1/ISNUMBER(SEARCH(SUBSTITUTE(UPPER($B398)," ",""),'DM_DoiTuong'!$C$2:$C$19)),1)),"Không tìm thấy"))</f>
        <v/>
      </c>
      <c r="E398" s="5">
        <f>IF($C398="","",IFERROR(INDEX('DM_DiaDiemKham'!$B$2:$B$6,AGGREGATE(15,6,ROW('DM_DiaDiemKham'!$B$2:$B$6)-ROW('DM_DiaDiemKham'!$B$2)+1/ISNUMBER(SEARCH(SUBSTITUTE(UPPER($C398)," ",""),'DM_DiaDiemKham'!$C$2:$C$6)),1)),"Không tìm thấy"))</f>
        <v/>
      </c>
      <c r="G398" s="5">
        <f>IF($D398="","",IFERROR(INDEX('DM_HinhThucChiTra'!$B$2:$B$5,AGGREGATE(15,6,ROW('DM_HinhThucChiTra'!$B$2:$B$5)-ROW('DM_HinhThucChiTra'!$B$2)+1/ISNUMBER(SEARCH(SUBSTITUTE(UPPER($D398)," ",""),'DM_HinhThucChiTra'!$C$2:$C$5)),1)),"Không tìm thấy"))</f>
        <v/>
      </c>
      <c r="I398" s="5">
        <f>IF($E398="","",IFERROR(INDEX('DM_HinhThucKham'!$B$2:$B$3,AGGREGATE(15,6,ROW('DM_HinhThucKham'!$B$2:$B$3)-ROW('DM_HinhThucKham'!$B$2)+1/ISNUMBER(SEARCH(SUBSTITUTE(UPPER($E398)," ",""),'DM_HinhThucKham'!$C$2:$C$3)),1)),"Không tìm thấy"))</f>
        <v/>
      </c>
      <c r="P398" s="5">
        <f>IF($K398="","",IFERROR(INDEX('DM_DanToc'!$B$2:$B$78,AGGREGATE(15,6,ROW('DM_DanToc'!$B$2:$B$78)-ROW('DM_DanToc'!$B$2)+1/ISNUMBER(SEARCH(SUBSTITUTE(UPPER($K398)," ",""),'DM_DanToc'!$C$2:$C$78)),1)),"Không tìm thấy"))</f>
        <v/>
      </c>
      <c r="W398" s="5">
        <f>IF($Q398="","",IFERROR(INDEX('DM_TinhThanh'!$B$2:$B$35,AGGREGATE(15,6,ROW('DM_TinhThanh'!$B$2:$B$35)-ROW('DM_TinhThanh'!$B$2)+1/ISNUMBER(SEARCH(SUBSTITUTE(UPPER($Q398)," ",""),'DM_TinhThanh'!$C$2:$C$35)),1)),"Không tìm thấy"))</f>
        <v/>
      </c>
      <c r="Y398" s="5">
        <f>IF($R398="","",IFERROR(INDEX('DM_XaPhuong'!$B$2:$B$169,AGGREGATE(15,6,ROW('DM_XaPhuong'!$B$2:$B$169)-ROW('DM_XaPhuong'!$B$2)+1/ISNUMBER(SEARCH(SUBSTITUTE(UPPER($R398)," ",""),'DM_XaPhuong'!$C$2:$C$169)),1)),"Không tìm thấy"))</f>
        <v/>
      </c>
      <c r="AB398" s="5">
        <f>IF($T398="","",IFERROR(INDEX('DM_NgheNghiep'!$B$2:$B$11,AGGREGATE(15,6,ROW('DM_NgheNghiep'!$B$2:$B$11)-ROW('DM_NgheNghiep'!$B$2)+1/ISNUMBER(SEARCH(SUBSTITUTE(UPPER($T398)," ",""),'DM_NgheNghiep'!$C$2:$C$11)),1)),"Không tìm thấy"))</f>
        <v/>
      </c>
      <c r="AD398" s="5">
        <f>IF($U398="","",IFERROR(INDEX('DM_NoiCongTac'!$B$2:$B$11,AGGREGATE(15,6,ROW('DM_NoiCongTac'!$B$2:$B$11)-ROW('DM_NoiCongTac'!$B$2)+1/ISNUMBER(SEARCH(SUBSTITUTE(UPPER($U398)," ",""),'DM_NoiCongTac'!$C$2:$C$11)),1)),"Không tìm thấy"))</f>
        <v/>
      </c>
      <c r="AF398" s="5">
        <f>IF($V398="","",IFERROR(INDEX('DM_XaPhuong'!$B$2:$B$169,AGGREGATE(15,6,ROW('DM_XaPhuong'!$B$2:$B$169)-ROW('DM_XaPhuong'!$B$2)+1/ISNUMBER(SEARCH(SUBSTITUTE(UPPER($V398)," ",""),'DM_XaPhuong'!$C$2:$C$169)),1)),"Không tìm thấy"))</f>
        <v/>
      </c>
    </row>
    <row r="399">
      <c r="C399" s="5">
        <f>IF($B399="","",IFERROR(INDEX('DM_DoiTuong'!$B$2:$B$19,AGGREGATE(15,6,ROW('DM_DoiTuong'!$B$2:$B$19)-ROW('DM_DoiTuong'!$B$2)+1/ISNUMBER(SEARCH(SUBSTITUTE(UPPER($B399)," ",""),'DM_DoiTuong'!$C$2:$C$19)),1)),"Không tìm thấy"))</f>
        <v/>
      </c>
      <c r="E399" s="5">
        <f>IF($C399="","",IFERROR(INDEX('DM_DiaDiemKham'!$B$2:$B$6,AGGREGATE(15,6,ROW('DM_DiaDiemKham'!$B$2:$B$6)-ROW('DM_DiaDiemKham'!$B$2)+1/ISNUMBER(SEARCH(SUBSTITUTE(UPPER($C399)," ",""),'DM_DiaDiemKham'!$C$2:$C$6)),1)),"Không tìm thấy"))</f>
        <v/>
      </c>
      <c r="G399" s="5">
        <f>IF($D399="","",IFERROR(INDEX('DM_HinhThucChiTra'!$B$2:$B$5,AGGREGATE(15,6,ROW('DM_HinhThucChiTra'!$B$2:$B$5)-ROW('DM_HinhThucChiTra'!$B$2)+1/ISNUMBER(SEARCH(SUBSTITUTE(UPPER($D399)," ",""),'DM_HinhThucChiTra'!$C$2:$C$5)),1)),"Không tìm thấy"))</f>
        <v/>
      </c>
      <c r="I399" s="5">
        <f>IF($E399="","",IFERROR(INDEX('DM_HinhThucKham'!$B$2:$B$3,AGGREGATE(15,6,ROW('DM_HinhThucKham'!$B$2:$B$3)-ROW('DM_HinhThucKham'!$B$2)+1/ISNUMBER(SEARCH(SUBSTITUTE(UPPER($E399)," ",""),'DM_HinhThucKham'!$C$2:$C$3)),1)),"Không tìm thấy"))</f>
        <v/>
      </c>
      <c r="P399" s="5">
        <f>IF($K399="","",IFERROR(INDEX('DM_DanToc'!$B$2:$B$78,AGGREGATE(15,6,ROW('DM_DanToc'!$B$2:$B$78)-ROW('DM_DanToc'!$B$2)+1/ISNUMBER(SEARCH(SUBSTITUTE(UPPER($K399)," ",""),'DM_DanToc'!$C$2:$C$78)),1)),"Không tìm thấy"))</f>
        <v/>
      </c>
      <c r="W399" s="5">
        <f>IF($Q399="","",IFERROR(INDEX('DM_TinhThanh'!$B$2:$B$35,AGGREGATE(15,6,ROW('DM_TinhThanh'!$B$2:$B$35)-ROW('DM_TinhThanh'!$B$2)+1/ISNUMBER(SEARCH(SUBSTITUTE(UPPER($Q399)," ",""),'DM_TinhThanh'!$C$2:$C$35)),1)),"Không tìm thấy"))</f>
        <v/>
      </c>
      <c r="Y399" s="5">
        <f>IF($R399="","",IFERROR(INDEX('DM_XaPhuong'!$B$2:$B$169,AGGREGATE(15,6,ROW('DM_XaPhuong'!$B$2:$B$169)-ROW('DM_XaPhuong'!$B$2)+1/ISNUMBER(SEARCH(SUBSTITUTE(UPPER($R399)," ",""),'DM_XaPhuong'!$C$2:$C$169)),1)),"Không tìm thấy"))</f>
        <v/>
      </c>
      <c r="AB399" s="5">
        <f>IF($T399="","",IFERROR(INDEX('DM_NgheNghiep'!$B$2:$B$11,AGGREGATE(15,6,ROW('DM_NgheNghiep'!$B$2:$B$11)-ROW('DM_NgheNghiep'!$B$2)+1/ISNUMBER(SEARCH(SUBSTITUTE(UPPER($T399)," ",""),'DM_NgheNghiep'!$C$2:$C$11)),1)),"Không tìm thấy"))</f>
        <v/>
      </c>
      <c r="AD399" s="5">
        <f>IF($U399="","",IFERROR(INDEX('DM_NoiCongTac'!$B$2:$B$11,AGGREGATE(15,6,ROW('DM_NoiCongTac'!$B$2:$B$11)-ROW('DM_NoiCongTac'!$B$2)+1/ISNUMBER(SEARCH(SUBSTITUTE(UPPER($U399)," ",""),'DM_NoiCongTac'!$C$2:$C$11)),1)),"Không tìm thấy"))</f>
        <v/>
      </c>
      <c r="AF399" s="5">
        <f>IF($V399="","",IFERROR(INDEX('DM_XaPhuong'!$B$2:$B$169,AGGREGATE(15,6,ROW('DM_XaPhuong'!$B$2:$B$169)-ROW('DM_XaPhuong'!$B$2)+1/ISNUMBER(SEARCH(SUBSTITUTE(UPPER($V399)," ",""),'DM_XaPhuong'!$C$2:$C$169)),1)),"Không tìm thấy"))</f>
        <v/>
      </c>
    </row>
    <row r="400">
      <c r="C400" s="5">
        <f>IF($B400="","",IFERROR(INDEX('DM_DoiTuong'!$B$2:$B$19,AGGREGATE(15,6,ROW('DM_DoiTuong'!$B$2:$B$19)-ROW('DM_DoiTuong'!$B$2)+1/ISNUMBER(SEARCH(SUBSTITUTE(UPPER($B400)," ",""),'DM_DoiTuong'!$C$2:$C$19)),1)),"Không tìm thấy"))</f>
        <v/>
      </c>
      <c r="E400" s="5">
        <f>IF($C400="","",IFERROR(INDEX('DM_DiaDiemKham'!$B$2:$B$6,AGGREGATE(15,6,ROW('DM_DiaDiemKham'!$B$2:$B$6)-ROW('DM_DiaDiemKham'!$B$2)+1/ISNUMBER(SEARCH(SUBSTITUTE(UPPER($C400)," ",""),'DM_DiaDiemKham'!$C$2:$C$6)),1)),"Không tìm thấy"))</f>
        <v/>
      </c>
      <c r="G400" s="5">
        <f>IF($D400="","",IFERROR(INDEX('DM_HinhThucChiTra'!$B$2:$B$5,AGGREGATE(15,6,ROW('DM_HinhThucChiTra'!$B$2:$B$5)-ROW('DM_HinhThucChiTra'!$B$2)+1/ISNUMBER(SEARCH(SUBSTITUTE(UPPER($D400)," ",""),'DM_HinhThucChiTra'!$C$2:$C$5)),1)),"Không tìm thấy"))</f>
        <v/>
      </c>
      <c r="I400" s="5">
        <f>IF($E400="","",IFERROR(INDEX('DM_HinhThucKham'!$B$2:$B$3,AGGREGATE(15,6,ROW('DM_HinhThucKham'!$B$2:$B$3)-ROW('DM_HinhThucKham'!$B$2)+1/ISNUMBER(SEARCH(SUBSTITUTE(UPPER($E400)," ",""),'DM_HinhThucKham'!$C$2:$C$3)),1)),"Không tìm thấy"))</f>
        <v/>
      </c>
      <c r="P400" s="5">
        <f>IF($K400="","",IFERROR(INDEX('DM_DanToc'!$B$2:$B$78,AGGREGATE(15,6,ROW('DM_DanToc'!$B$2:$B$78)-ROW('DM_DanToc'!$B$2)+1/ISNUMBER(SEARCH(SUBSTITUTE(UPPER($K400)," ",""),'DM_DanToc'!$C$2:$C$78)),1)),"Không tìm thấy"))</f>
        <v/>
      </c>
      <c r="W400" s="5">
        <f>IF($Q400="","",IFERROR(INDEX('DM_TinhThanh'!$B$2:$B$35,AGGREGATE(15,6,ROW('DM_TinhThanh'!$B$2:$B$35)-ROW('DM_TinhThanh'!$B$2)+1/ISNUMBER(SEARCH(SUBSTITUTE(UPPER($Q400)," ",""),'DM_TinhThanh'!$C$2:$C$35)),1)),"Không tìm thấy"))</f>
        <v/>
      </c>
      <c r="Y400" s="5">
        <f>IF($R400="","",IFERROR(INDEX('DM_XaPhuong'!$B$2:$B$169,AGGREGATE(15,6,ROW('DM_XaPhuong'!$B$2:$B$169)-ROW('DM_XaPhuong'!$B$2)+1/ISNUMBER(SEARCH(SUBSTITUTE(UPPER($R400)," ",""),'DM_XaPhuong'!$C$2:$C$169)),1)),"Không tìm thấy"))</f>
        <v/>
      </c>
      <c r="AB400" s="5">
        <f>IF($T400="","",IFERROR(INDEX('DM_NgheNghiep'!$B$2:$B$11,AGGREGATE(15,6,ROW('DM_NgheNghiep'!$B$2:$B$11)-ROW('DM_NgheNghiep'!$B$2)+1/ISNUMBER(SEARCH(SUBSTITUTE(UPPER($T400)," ",""),'DM_NgheNghiep'!$C$2:$C$11)),1)),"Không tìm thấy"))</f>
        <v/>
      </c>
      <c r="AD400" s="5">
        <f>IF($U400="","",IFERROR(INDEX('DM_NoiCongTac'!$B$2:$B$11,AGGREGATE(15,6,ROW('DM_NoiCongTac'!$B$2:$B$11)-ROW('DM_NoiCongTac'!$B$2)+1/ISNUMBER(SEARCH(SUBSTITUTE(UPPER($U400)," ",""),'DM_NoiCongTac'!$C$2:$C$11)),1)),"Không tìm thấy"))</f>
        <v/>
      </c>
      <c r="AF400" s="5">
        <f>IF($V400="","",IFERROR(INDEX('DM_XaPhuong'!$B$2:$B$169,AGGREGATE(15,6,ROW('DM_XaPhuong'!$B$2:$B$169)-ROW('DM_XaPhuong'!$B$2)+1/ISNUMBER(SEARCH(SUBSTITUTE(UPPER($V400)," ",""),'DM_XaPhuong'!$C$2:$C$169)),1)),"Không tìm thấy"))</f>
        <v/>
      </c>
    </row>
    <row r="401">
      <c r="C401" s="5">
        <f>IF($B401="","",IFERROR(INDEX('DM_DoiTuong'!$B$2:$B$19,AGGREGATE(15,6,ROW('DM_DoiTuong'!$B$2:$B$19)-ROW('DM_DoiTuong'!$B$2)+1/ISNUMBER(SEARCH(SUBSTITUTE(UPPER($B401)," ",""),'DM_DoiTuong'!$C$2:$C$19)),1)),"Không tìm thấy"))</f>
        <v/>
      </c>
      <c r="E401" s="5">
        <f>IF($C401="","",IFERROR(INDEX('DM_DiaDiemKham'!$B$2:$B$6,AGGREGATE(15,6,ROW('DM_DiaDiemKham'!$B$2:$B$6)-ROW('DM_DiaDiemKham'!$B$2)+1/ISNUMBER(SEARCH(SUBSTITUTE(UPPER($C401)," ",""),'DM_DiaDiemKham'!$C$2:$C$6)),1)),"Không tìm thấy"))</f>
        <v/>
      </c>
      <c r="G401" s="5">
        <f>IF($D401="","",IFERROR(INDEX('DM_HinhThucChiTra'!$B$2:$B$5,AGGREGATE(15,6,ROW('DM_HinhThucChiTra'!$B$2:$B$5)-ROW('DM_HinhThucChiTra'!$B$2)+1/ISNUMBER(SEARCH(SUBSTITUTE(UPPER($D401)," ",""),'DM_HinhThucChiTra'!$C$2:$C$5)),1)),"Không tìm thấy"))</f>
        <v/>
      </c>
      <c r="I401" s="5">
        <f>IF($E401="","",IFERROR(INDEX('DM_HinhThucKham'!$B$2:$B$3,AGGREGATE(15,6,ROW('DM_HinhThucKham'!$B$2:$B$3)-ROW('DM_HinhThucKham'!$B$2)+1/ISNUMBER(SEARCH(SUBSTITUTE(UPPER($E401)," ",""),'DM_HinhThucKham'!$C$2:$C$3)),1)),"Không tìm thấy"))</f>
        <v/>
      </c>
      <c r="P401" s="5">
        <f>IF($K401="","",IFERROR(INDEX('DM_DanToc'!$B$2:$B$78,AGGREGATE(15,6,ROW('DM_DanToc'!$B$2:$B$78)-ROW('DM_DanToc'!$B$2)+1/ISNUMBER(SEARCH(SUBSTITUTE(UPPER($K401)," ",""),'DM_DanToc'!$C$2:$C$78)),1)),"Không tìm thấy"))</f>
        <v/>
      </c>
      <c r="W401" s="5">
        <f>IF($Q401="","",IFERROR(INDEX('DM_TinhThanh'!$B$2:$B$35,AGGREGATE(15,6,ROW('DM_TinhThanh'!$B$2:$B$35)-ROW('DM_TinhThanh'!$B$2)+1/ISNUMBER(SEARCH(SUBSTITUTE(UPPER($Q401)," ",""),'DM_TinhThanh'!$C$2:$C$35)),1)),"Không tìm thấy"))</f>
        <v/>
      </c>
      <c r="Y401" s="5">
        <f>IF($R401="","",IFERROR(INDEX('DM_XaPhuong'!$B$2:$B$169,AGGREGATE(15,6,ROW('DM_XaPhuong'!$B$2:$B$169)-ROW('DM_XaPhuong'!$B$2)+1/ISNUMBER(SEARCH(SUBSTITUTE(UPPER($R401)," ",""),'DM_XaPhuong'!$C$2:$C$169)),1)),"Không tìm thấy"))</f>
        <v/>
      </c>
      <c r="AB401" s="5">
        <f>IF($T401="","",IFERROR(INDEX('DM_NgheNghiep'!$B$2:$B$11,AGGREGATE(15,6,ROW('DM_NgheNghiep'!$B$2:$B$11)-ROW('DM_NgheNghiep'!$B$2)+1/ISNUMBER(SEARCH(SUBSTITUTE(UPPER($T401)," ",""),'DM_NgheNghiep'!$C$2:$C$11)),1)),"Không tìm thấy"))</f>
        <v/>
      </c>
      <c r="AD401" s="5">
        <f>IF($U401="","",IFERROR(INDEX('DM_NoiCongTac'!$B$2:$B$11,AGGREGATE(15,6,ROW('DM_NoiCongTac'!$B$2:$B$11)-ROW('DM_NoiCongTac'!$B$2)+1/ISNUMBER(SEARCH(SUBSTITUTE(UPPER($U401)," ",""),'DM_NoiCongTac'!$C$2:$C$11)),1)),"Không tìm thấy"))</f>
        <v/>
      </c>
      <c r="AF401" s="5">
        <f>IF($V401="","",IFERROR(INDEX('DM_XaPhuong'!$B$2:$B$169,AGGREGATE(15,6,ROW('DM_XaPhuong'!$B$2:$B$169)-ROW('DM_XaPhuong'!$B$2)+1/ISNUMBER(SEARCH(SUBSTITUTE(UPPER($V401)," ",""),'DM_XaPhuong'!$C$2:$C$169)),1)),"Không tìm thấy"))</f>
        <v/>
      </c>
    </row>
    <row r="402">
      <c r="C402" s="5">
        <f>IF($B402="","",IFERROR(INDEX('DM_DoiTuong'!$B$2:$B$19,AGGREGATE(15,6,ROW('DM_DoiTuong'!$B$2:$B$19)-ROW('DM_DoiTuong'!$B$2)+1/ISNUMBER(SEARCH(SUBSTITUTE(UPPER($B402)," ",""),'DM_DoiTuong'!$C$2:$C$19)),1)),"Không tìm thấy"))</f>
        <v/>
      </c>
      <c r="E402" s="5">
        <f>IF($C402="","",IFERROR(INDEX('DM_DiaDiemKham'!$B$2:$B$6,AGGREGATE(15,6,ROW('DM_DiaDiemKham'!$B$2:$B$6)-ROW('DM_DiaDiemKham'!$B$2)+1/ISNUMBER(SEARCH(SUBSTITUTE(UPPER($C402)," ",""),'DM_DiaDiemKham'!$C$2:$C$6)),1)),"Không tìm thấy"))</f>
        <v/>
      </c>
      <c r="G402" s="5">
        <f>IF($D402="","",IFERROR(INDEX('DM_HinhThucChiTra'!$B$2:$B$5,AGGREGATE(15,6,ROW('DM_HinhThucChiTra'!$B$2:$B$5)-ROW('DM_HinhThucChiTra'!$B$2)+1/ISNUMBER(SEARCH(SUBSTITUTE(UPPER($D402)," ",""),'DM_HinhThucChiTra'!$C$2:$C$5)),1)),"Không tìm thấy"))</f>
        <v/>
      </c>
      <c r="I402" s="5">
        <f>IF($E402="","",IFERROR(INDEX('DM_HinhThucKham'!$B$2:$B$3,AGGREGATE(15,6,ROW('DM_HinhThucKham'!$B$2:$B$3)-ROW('DM_HinhThucKham'!$B$2)+1/ISNUMBER(SEARCH(SUBSTITUTE(UPPER($E402)," ",""),'DM_HinhThucKham'!$C$2:$C$3)),1)),"Không tìm thấy"))</f>
        <v/>
      </c>
      <c r="P402" s="5">
        <f>IF($K402="","",IFERROR(INDEX('DM_DanToc'!$B$2:$B$78,AGGREGATE(15,6,ROW('DM_DanToc'!$B$2:$B$78)-ROW('DM_DanToc'!$B$2)+1/ISNUMBER(SEARCH(SUBSTITUTE(UPPER($K402)," ",""),'DM_DanToc'!$C$2:$C$78)),1)),"Không tìm thấy"))</f>
        <v/>
      </c>
      <c r="W402" s="5">
        <f>IF($Q402="","",IFERROR(INDEX('DM_TinhThanh'!$B$2:$B$35,AGGREGATE(15,6,ROW('DM_TinhThanh'!$B$2:$B$35)-ROW('DM_TinhThanh'!$B$2)+1/ISNUMBER(SEARCH(SUBSTITUTE(UPPER($Q402)," ",""),'DM_TinhThanh'!$C$2:$C$35)),1)),"Không tìm thấy"))</f>
        <v/>
      </c>
      <c r="Y402" s="5">
        <f>IF($R402="","",IFERROR(INDEX('DM_XaPhuong'!$B$2:$B$169,AGGREGATE(15,6,ROW('DM_XaPhuong'!$B$2:$B$169)-ROW('DM_XaPhuong'!$B$2)+1/ISNUMBER(SEARCH(SUBSTITUTE(UPPER($R402)," ",""),'DM_XaPhuong'!$C$2:$C$169)),1)),"Không tìm thấy"))</f>
        <v/>
      </c>
      <c r="AB402" s="5">
        <f>IF($T402="","",IFERROR(INDEX('DM_NgheNghiep'!$B$2:$B$11,AGGREGATE(15,6,ROW('DM_NgheNghiep'!$B$2:$B$11)-ROW('DM_NgheNghiep'!$B$2)+1/ISNUMBER(SEARCH(SUBSTITUTE(UPPER($T402)," ",""),'DM_NgheNghiep'!$C$2:$C$11)),1)),"Không tìm thấy"))</f>
        <v/>
      </c>
      <c r="AD402" s="5">
        <f>IF($U402="","",IFERROR(INDEX('DM_NoiCongTac'!$B$2:$B$11,AGGREGATE(15,6,ROW('DM_NoiCongTac'!$B$2:$B$11)-ROW('DM_NoiCongTac'!$B$2)+1/ISNUMBER(SEARCH(SUBSTITUTE(UPPER($U402)," ",""),'DM_NoiCongTac'!$C$2:$C$11)),1)),"Không tìm thấy"))</f>
        <v/>
      </c>
      <c r="AF402" s="5">
        <f>IF($V402="","",IFERROR(INDEX('DM_XaPhuong'!$B$2:$B$169,AGGREGATE(15,6,ROW('DM_XaPhuong'!$B$2:$B$169)-ROW('DM_XaPhuong'!$B$2)+1/ISNUMBER(SEARCH(SUBSTITUTE(UPPER($V402)," ",""),'DM_XaPhuong'!$C$2:$C$169)),1)),"Không tìm thấy"))</f>
        <v/>
      </c>
    </row>
    <row r="403">
      <c r="C403" s="5">
        <f>IF($B403="","",IFERROR(INDEX('DM_DoiTuong'!$B$2:$B$19,AGGREGATE(15,6,ROW('DM_DoiTuong'!$B$2:$B$19)-ROW('DM_DoiTuong'!$B$2)+1/ISNUMBER(SEARCH(SUBSTITUTE(UPPER($B403)," ",""),'DM_DoiTuong'!$C$2:$C$19)),1)),"Không tìm thấy"))</f>
        <v/>
      </c>
      <c r="E403" s="5">
        <f>IF($C403="","",IFERROR(INDEX('DM_DiaDiemKham'!$B$2:$B$6,AGGREGATE(15,6,ROW('DM_DiaDiemKham'!$B$2:$B$6)-ROW('DM_DiaDiemKham'!$B$2)+1/ISNUMBER(SEARCH(SUBSTITUTE(UPPER($C403)," ",""),'DM_DiaDiemKham'!$C$2:$C$6)),1)),"Không tìm thấy"))</f>
        <v/>
      </c>
      <c r="G403" s="5">
        <f>IF($D403="","",IFERROR(INDEX('DM_HinhThucChiTra'!$B$2:$B$5,AGGREGATE(15,6,ROW('DM_HinhThucChiTra'!$B$2:$B$5)-ROW('DM_HinhThucChiTra'!$B$2)+1/ISNUMBER(SEARCH(SUBSTITUTE(UPPER($D403)," ",""),'DM_HinhThucChiTra'!$C$2:$C$5)),1)),"Không tìm thấy"))</f>
        <v/>
      </c>
      <c r="I403" s="5">
        <f>IF($E403="","",IFERROR(INDEX('DM_HinhThucKham'!$B$2:$B$3,AGGREGATE(15,6,ROW('DM_HinhThucKham'!$B$2:$B$3)-ROW('DM_HinhThucKham'!$B$2)+1/ISNUMBER(SEARCH(SUBSTITUTE(UPPER($E403)," ",""),'DM_HinhThucKham'!$C$2:$C$3)),1)),"Không tìm thấy"))</f>
        <v/>
      </c>
      <c r="P403" s="5">
        <f>IF($K403="","",IFERROR(INDEX('DM_DanToc'!$B$2:$B$78,AGGREGATE(15,6,ROW('DM_DanToc'!$B$2:$B$78)-ROW('DM_DanToc'!$B$2)+1/ISNUMBER(SEARCH(SUBSTITUTE(UPPER($K403)," ",""),'DM_DanToc'!$C$2:$C$78)),1)),"Không tìm thấy"))</f>
        <v/>
      </c>
      <c r="W403" s="5">
        <f>IF($Q403="","",IFERROR(INDEX('DM_TinhThanh'!$B$2:$B$35,AGGREGATE(15,6,ROW('DM_TinhThanh'!$B$2:$B$35)-ROW('DM_TinhThanh'!$B$2)+1/ISNUMBER(SEARCH(SUBSTITUTE(UPPER($Q403)," ",""),'DM_TinhThanh'!$C$2:$C$35)),1)),"Không tìm thấy"))</f>
        <v/>
      </c>
      <c r="Y403" s="5">
        <f>IF($R403="","",IFERROR(INDEX('DM_XaPhuong'!$B$2:$B$169,AGGREGATE(15,6,ROW('DM_XaPhuong'!$B$2:$B$169)-ROW('DM_XaPhuong'!$B$2)+1/ISNUMBER(SEARCH(SUBSTITUTE(UPPER($R403)," ",""),'DM_XaPhuong'!$C$2:$C$169)),1)),"Không tìm thấy"))</f>
        <v/>
      </c>
      <c r="AB403" s="5">
        <f>IF($T403="","",IFERROR(INDEX('DM_NgheNghiep'!$B$2:$B$11,AGGREGATE(15,6,ROW('DM_NgheNghiep'!$B$2:$B$11)-ROW('DM_NgheNghiep'!$B$2)+1/ISNUMBER(SEARCH(SUBSTITUTE(UPPER($T403)," ",""),'DM_NgheNghiep'!$C$2:$C$11)),1)),"Không tìm thấy"))</f>
        <v/>
      </c>
      <c r="AD403" s="5">
        <f>IF($U403="","",IFERROR(INDEX('DM_NoiCongTac'!$B$2:$B$11,AGGREGATE(15,6,ROW('DM_NoiCongTac'!$B$2:$B$11)-ROW('DM_NoiCongTac'!$B$2)+1/ISNUMBER(SEARCH(SUBSTITUTE(UPPER($U403)," ",""),'DM_NoiCongTac'!$C$2:$C$11)),1)),"Không tìm thấy"))</f>
        <v/>
      </c>
      <c r="AF403" s="5">
        <f>IF($V403="","",IFERROR(INDEX('DM_XaPhuong'!$B$2:$B$169,AGGREGATE(15,6,ROW('DM_XaPhuong'!$B$2:$B$169)-ROW('DM_XaPhuong'!$B$2)+1/ISNUMBER(SEARCH(SUBSTITUTE(UPPER($V403)," ",""),'DM_XaPhuong'!$C$2:$C$169)),1)),"Không tìm thấy"))</f>
        <v/>
      </c>
    </row>
    <row r="404">
      <c r="C404" s="5">
        <f>IF($B404="","",IFERROR(INDEX('DM_DoiTuong'!$B$2:$B$19,AGGREGATE(15,6,ROW('DM_DoiTuong'!$B$2:$B$19)-ROW('DM_DoiTuong'!$B$2)+1/ISNUMBER(SEARCH(SUBSTITUTE(UPPER($B404)," ",""),'DM_DoiTuong'!$C$2:$C$19)),1)),"Không tìm thấy"))</f>
        <v/>
      </c>
      <c r="E404" s="5">
        <f>IF($C404="","",IFERROR(INDEX('DM_DiaDiemKham'!$B$2:$B$6,AGGREGATE(15,6,ROW('DM_DiaDiemKham'!$B$2:$B$6)-ROW('DM_DiaDiemKham'!$B$2)+1/ISNUMBER(SEARCH(SUBSTITUTE(UPPER($C404)," ",""),'DM_DiaDiemKham'!$C$2:$C$6)),1)),"Không tìm thấy"))</f>
        <v/>
      </c>
      <c r="G404" s="5">
        <f>IF($D404="","",IFERROR(INDEX('DM_HinhThucChiTra'!$B$2:$B$5,AGGREGATE(15,6,ROW('DM_HinhThucChiTra'!$B$2:$B$5)-ROW('DM_HinhThucChiTra'!$B$2)+1/ISNUMBER(SEARCH(SUBSTITUTE(UPPER($D404)," ",""),'DM_HinhThucChiTra'!$C$2:$C$5)),1)),"Không tìm thấy"))</f>
        <v/>
      </c>
      <c r="I404" s="5">
        <f>IF($E404="","",IFERROR(INDEX('DM_HinhThucKham'!$B$2:$B$3,AGGREGATE(15,6,ROW('DM_HinhThucKham'!$B$2:$B$3)-ROW('DM_HinhThucKham'!$B$2)+1/ISNUMBER(SEARCH(SUBSTITUTE(UPPER($E404)," ",""),'DM_HinhThucKham'!$C$2:$C$3)),1)),"Không tìm thấy"))</f>
        <v/>
      </c>
      <c r="P404" s="5">
        <f>IF($K404="","",IFERROR(INDEX('DM_DanToc'!$B$2:$B$78,AGGREGATE(15,6,ROW('DM_DanToc'!$B$2:$B$78)-ROW('DM_DanToc'!$B$2)+1/ISNUMBER(SEARCH(SUBSTITUTE(UPPER($K404)," ",""),'DM_DanToc'!$C$2:$C$78)),1)),"Không tìm thấy"))</f>
        <v/>
      </c>
      <c r="W404" s="5">
        <f>IF($Q404="","",IFERROR(INDEX('DM_TinhThanh'!$B$2:$B$35,AGGREGATE(15,6,ROW('DM_TinhThanh'!$B$2:$B$35)-ROW('DM_TinhThanh'!$B$2)+1/ISNUMBER(SEARCH(SUBSTITUTE(UPPER($Q404)," ",""),'DM_TinhThanh'!$C$2:$C$35)),1)),"Không tìm thấy"))</f>
        <v/>
      </c>
      <c r="Y404" s="5">
        <f>IF($R404="","",IFERROR(INDEX('DM_XaPhuong'!$B$2:$B$169,AGGREGATE(15,6,ROW('DM_XaPhuong'!$B$2:$B$169)-ROW('DM_XaPhuong'!$B$2)+1/ISNUMBER(SEARCH(SUBSTITUTE(UPPER($R404)," ",""),'DM_XaPhuong'!$C$2:$C$169)),1)),"Không tìm thấy"))</f>
        <v/>
      </c>
      <c r="AB404" s="5">
        <f>IF($T404="","",IFERROR(INDEX('DM_NgheNghiep'!$B$2:$B$11,AGGREGATE(15,6,ROW('DM_NgheNghiep'!$B$2:$B$11)-ROW('DM_NgheNghiep'!$B$2)+1/ISNUMBER(SEARCH(SUBSTITUTE(UPPER($T404)," ",""),'DM_NgheNghiep'!$C$2:$C$11)),1)),"Không tìm thấy"))</f>
        <v/>
      </c>
      <c r="AD404" s="5">
        <f>IF($U404="","",IFERROR(INDEX('DM_NoiCongTac'!$B$2:$B$11,AGGREGATE(15,6,ROW('DM_NoiCongTac'!$B$2:$B$11)-ROW('DM_NoiCongTac'!$B$2)+1/ISNUMBER(SEARCH(SUBSTITUTE(UPPER($U404)," ",""),'DM_NoiCongTac'!$C$2:$C$11)),1)),"Không tìm thấy"))</f>
        <v/>
      </c>
      <c r="AF404" s="5">
        <f>IF($V404="","",IFERROR(INDEX('DM_XaPhuong'!$B$2:$B$169,AGGREGATE(15,6,ROW('DM_XaPhuong'!$B$2:$B$169)-ROW('DM_XaPhuong'!$B$2)+1/ISNUMBER(SEARCH(SUBSTITUTE(UPPER($V404)," ",""),'DM_XaPhuong'!$C$2:$C$169)),1)),"Không tìm thấy"))</f>
        <v/>
      </c>
    </row>
    <row r="405">
      <c r="C405" s="5">
        <f>IF($B405="","",IFERROR(INDEX('DM_DoiTuong'!$B$2:$B$19,AGGREGATE(15,6,ROW('DM_DoiTuong'!$B$2:$B$19)-ROW('DM_DoiTuong'!$B$2)+1/ISNUMBER(SEARCH(SUBSTITUTE(UPPER($B405)," ",""),'DM_DoiTuong'!$C$2:$C$19)),1)),"Không tìm thấy"))</f>
        <v/>
      </c>
      <c r="E405" s="5">
        <f>IF($C405="","",IFERROR(INDEX('DM_DiaDiemKham'!$B$2:$B$6,AGGREGATE(15,6,ROW('DM_DiaDiemKham'!$B$2:$B$6)-ROW('DM_DiaDiemKham'!$B$2)+1/ISNUMBER(SEARCH(SUBSTITUTE(UPPER($C405)," ",""),'DM_DiaDiemKham'!$C$2:$C$6)),1)),"Không tìm thấy"))</f>
        <v/>
      </c>
      <c r="G405" s="5">
        <f>IF($D405="","",IFERROR(INDEX('DM_HinhThucChiTra'!$B$2:$B$5,AGGREGATE(15,6,ROW('DM_HinhThucChiTra'!$B$2:$B$5)-ROW('DM_HinhThucChiTra'!$B$2)+1/ISNUMBER(SEARCH(SUBSTITUTE(UPPER($D405)," ",""),'DM_HinhThucChiTra'!$C$2:$C$5)),1)),"Không tìm thấy"))</f>
        <v/>
      </c>
      <c r="I405" s="5">
        <f>IF($E405="","",IFERROR(INDEX('DM_HinhThucKham'!$B$2:$B$3,AGGREGATE(15,6,ROW('DM_HinhThucKham'!$B$2:$B$3)-ROW('DM_HinhThucKham'!$B$2)+1/ISNUMBER(SEARCH(SUBSTITUTE(UPPER($E405)," ",""),'DM_HinhThucKham'!$C$2:$C$3)),1)),"Không tìm thấy"))</f>
        <v/>
      </c>
      <c r="P405" s="5">
        <f>IF($K405="","",IFERROR(INDEX('DM_DanToc'!$B$2:$B$78,AGGREGATE(15,6,ROW('DM_DanToc'!$B$2:$B$78)-ROW('DM_DanToc'!$B$2)+1/ISNUMBER(SEARCH(SUBSTITUTE(UPPER($K405)," ",""),'DM_DanToc'!$C$2:$C$78)),1)),"Không tìm thấy"))</f>
        <v/>
      </c>
      <c r="W405" s="5">
        <f>IF($Q405="","",IFERROR(INDEX('DM_TinhThanh'!$B$2:$B$35,AGGREGATE(15,6,ROW('DM_TinhThanh'!$B$2:$B$35)-ROW('DM_TinhThanh'!$B$2)+1/ISNUMBER(SEARCH(SUBSTITUTE(UPPER($Q405)," ",""),'DM_TinhThanh'!$C$2:$C$35)),1)),"Không tìm thấy"))</f>
        <v/>
      </c>
      <c r="Y405" s="5">
        <f>IF($R405="","",IFERROR(INDEX('DM_XaPhuong'!$B$2:$B$169,AGGREGATE(15,6,ROW('DM_XaPhuong'!$B$2:$B$169)-ROW('DM_XaPhuong'!$B$2)+1/ISNUMBER(SEARCH(SUBSTITUTE(UPPER($R405)," ",""),'DM_XaPhuong'!$C$2:$C$169)),1)),"Không tìm thấy"))</f>
        <v/>
      </c>
      <c r="AB405" s="5">
        <f>IF($T405="","",IFERROR(INDEX('DM_NgheNghiep'!$B$2:$B$11,AGGREGATE(15,6,ROW('DM_NgheNghiep'!$B$2:$B$11)-ROW('DM_NgheNghiep'!$B$2)+1/ISNUMBER(SEARCH(SUBSTITUTE(UPPER($T405)," ",""),'DM_NgheNghiep'!$C$2:$C$11)),1)),"Không tìm thấy"))</f>
        <v/>
      </c>
      <c r="AD405" s="5">
        <f>IF($U405="","",IFERROR(INDEX('DM_NoiCongTac'!$B$2:$B$11,AGGREGATE(15,6,ROW('DM_NoiCongTac'!$B$2:$B$11)-ROW('DM_NoiCongTac'!$B$2)+1/ISNUMBER(SEARCH(SUBSTITUTE(UPPER($U405)," ",""),'DM_NoiCongTac'!$C$2:$C$11)),1)),"Không tìm thấy"))</f>
        <v/>
      </c>
      <c r="AF405" s="5">
        <f>IF($V405="","",IFERROR(INDEX('DM_XaPhuong'!$B$2:$B$169,AGGREGATE(15,6,ROW('DM_XaPhuong'!$B$2:$B$169)-ROW('DM_XaPhuong'!$B$2)+1/ISNUMBER(SEARCH(SUBSTITUTE(UPPER($V405)," ",""),'DM_XaPhuong'!$C$2:$C$169)),1)),"Không tìm thấy"))</f>
        <v/>
      </c>
    </row>
    <row r="406">
      <c r="C406" s="5">
        <f>IF($B406="","",IFERROR(INDEX('DM_DoiTuong'!$B$2:$B$19,AGGREGATE(15,6,ROW('DM_DoiTuong'!$B$2:$B$19)-ROW('DM_DoiTuong'!$B$2)+1/ISNUMBER(SEARCH(SUBSTITUTE(UPPER($B406)," ",""),'DM_DoiTuong'!$C$2:$C$19)),1)),"Không tìm thấy"))</f>
        <v/>
      </c>
      <c r="E406" s="5">
        <f>IF($C406="","",IFERROR(INDEX('DM_DiaDiemKham'!$B$2:$B$6,AGGREGATE(15,6,ROW('DM_DiaDiemKham'!$B$2:$B$6)-ROW('DM_DiaDiemKham'!$B$2)+1/ISNUMBER(SEARCH(SUBSTITUTE(UPPER($C406)," ",""),'DM_DiaDiemKham'!$C$2:$C$6)),1)),"Không tìm thấy"))</f>
        <v/>
      </c>
      <c r="G406" s="5">
        <f>IF($D406="","",IFERROR(INDEX('DM_HinhThucChiTra'!$B$2:$B$5,AGGREGATE(15,6,ROW('DM_HinhThucChiTra'!$B$2:$B$5)-ROW('DM_HinhThucChiTra'!$B$2)+1/ISNUMBER(SEARCH(SUBSTITUTE(UPPER($D406)," ",""),'DM_HinhThucChiTra'!$C$2:$C$5)),1)),"Không tìm thấy"))</f>
        <v/>
      </c>
      <c r="I406" s="5">
        <f>IF($E406="","",IFERROR(INDEX('DM_HinhThucKham'!$B$2:$B$3,AGGREGATE(15,6,ROW('DM_HinhThucKham'!$B$2:$B$3)-ROW('DM_HinhThucKham'!$B$2)+1/ISNUMBER(SEARCH(SUBSTITUTE(UPPER($E406)," ",""),'DM_HinhThucKham'!$C$2:$C$3)),1)),"Không tìm thấy"))</f>
        <v/>
      </c>
      <c r="P406" s="5">
        <f>IF($K406="","",IFERROR(INDEX('DM_DanToc'!$B$2:$B$78,AGGREGATE(15,6,ROW('DM_DanToc'!$B$2:$B$78)-ROW('DM_DanToc'!$B$2)+1/ISNUMBER(SEARCH(SUBSTITUTE(UPPER($K406)," ",""),'DM_DanToc'!$C$2:$C$78)),1)),"Không tìm thấy"))</f>
        <v/>
      </c>
      <c r="W406" s="5">
        <f>IF($Q406="","",IFERROR(INDEX('DM_TinhThanh'!$B$2:$B$35,AGGREGATE(15,6,ROW('DM_TinhThanh'!$B$2:$B$35)-ROW('DM_TinhThanh'!$B$2)+1/ISNUMBER(SEARCH(SUBSTITUTE(UPPER($Q406)," ",""),'DM_TinhThanh'!$C$2:$C$35)),1)),"Không tìm thấy"))</f>
        <v/>
      </c>
      <c r="Y406" s="5">
        <f>IF($R406="","",IFERROR(INDEX('DM_XaPhuong'!$B$2:$B$169,AGGREGATE(15,6,ROW('DM_XaPhuong'!$B$2:$B$169)-ROW('DM_XaPhuong'!$B$2)+1/ISNUMBER(SEARCH(SUBSTITUTE(UPPER($R406)," ",""),'DM_XaPhuong'!$C$2:$C$169)),1)),"Không tìm thấy"))</f>
        <v/>
      </c>
      <c r="AB406" s="5">
        <f>IF($T406="","",IFERROR(INDEX('DM_NgheNghiep'!$B$2:$B$11,AGGREGATE(15,6,ROW('DM_NgheNghiep'!$B$2:$B$11)-ROW('DM_NgheNghiep'!$B$2)+1/ISNUMBER(SEARCH(SUBSTITUTE(UPPER($T406)," ",""),'DM_NgheNghiep'!$C$2:$C$11)),1)),"Không tìm thấy"))</f>
        <v/>
      </c>
      <c r="AD406" s="5">
        <f>IF($U406="","",IFERROR(INDEX('DM_NoiCongTac'!$B$2:$B$11,AGGREGATE(15,6,ROW('DM_NoiCongTac'!$B$2:$B$11)-ROW('DM_NoiCongTac'!$B$2)+1/ISNUMBER(SEARCH(SUBSTITUTE(UPPER($U406)," ",""),'DM_NoiCongTac'!$C$2:$C$11)),1)),"Không tìm thấy"))</f>
        <v/>
      </c>
      <c r="AF406" s="5">
        <f>IF($V406="","",IFERROR(INDEX('DM_XaPhuong'!$B$2:$B$169,AGGREGATE(15,6,ROW('DM_XaPhuong'!$B$2:$B$169)-ROW('DM_XaPhuong'!$B$2)+1/ISNUMBER(SEARCH(SUBSTITUTE(UPPER($V406)," ",""),'DM_XaPhuong'!$C$2:$C$169)),1)),"Không tìm thấy"))</f>
        <v/>
      </c>
    </row>
    <row r="407">
      <c r="C407" s="5">
        <f>IF($B407="","",IFERROR(INDEX('DM_DoiTuong'!$B$2:$B$19,AGGREGATE(15,6,ROW('DM_DoiTuong'!$B$2:$B$19)-ROW('DM_DoiTuong'!$B$2)+1/ISNUMBER(SEARCH(SUBSTITUTE(UPPER($B407)," ",""),'DM_DoiTuong'!$C$2:$C$19)),1)),"Không tìm thấy"))</f>
        <v/>
      </c>
      <c r="E407" s="5">
        <f>IF($C407="","",IFERROR(INDEX('DM_DiaDiemKham'!$B$2:$B$6,AGGREGATE(15,6,ROW('DM_DiaDiemKham'!$B$2:$B$6)-ROW('DM_DiaDiemKham'!$B$2)+1/ISNUMBER(SEARCH(SUBSTITUTE(UPPER($C407)," ",""),'DM_DiaDiemKham'!$C$2:$C$6)),1)),"Không tìm thấy"))</f>
        <v/>
      </c>
      <c r="G407" s="5">
        <f>IF($D407="","",IFERROR(INDEX('DM_HinhThucChiTra'!$B$2:$B$5,AGGREGATE(15,6,ROW('DM_HinhThucChiTra'!$B$2:$B$5)-ROW('DM_HinhThucChiTra'!$B$2)+1/ISNUMBER(SEARCH(SUBSTITUTE(UPPER($D407)," ",""),'DM_HinhThucChiTra'!$C$2:$C$5)),1)),"Không tìm thấy"))</f>
        <v/>
      </c>
      <c r="I407" s="5">
        <f>IF($E407="","",IFERROR(INDEX('DM_HinhThucKham'!$B$2:$B$3,AGGREGATE(15,6,ROW('DM_HinhThucKham'!$B$2:$B$3)-ROW('DM_HinhThucKham'!$B$2)+1/ISNUMBER(SEARCH(SUBSTITUTE(UPPER($E407)," ",""),'DM_HinhThucKham'!$C$2:$C$3)),1)),"Không tìm thấy"))</f>
        <v/>
      </c>
      <c r="P407" s="5">
        <f>IF($K407="","",IFERROR(INDEX('DM_DanToc'!$B$2:$B$78,AGGREGATE(15,6,ROW('DM_DanToc'!$B$2:$B$78)-ROW('DM_DanToc'!$B$2)+1/ISNUMBER(SEARCH(SUBSTITUTE(UPPER($K407)," ",""),'DM_DanToc'!$C$2:$C$78)),1)),"Không tìm thấy"))</f>
        <v/>
      </c>
      <c r="W407" s="5">
        <f>IF($Q407="","",IFERROR(INDEX('DM_TinhThanh'!$B$2:$B$35,AGGREGATE(15,6,ROW('DM_TinhThanh'!$B$2:$B$35)-ROW('DM_TinhThanh'!$B$2)+1/ISNUMBER(SEARCH(SUBSTITUTE(UPPER($Q407)," ",""),'DM_TinhThanh'!$C$2:$C$35)),1)),"Không tìm thấy"))</f>
        <v/>
      </c>
      <c r="Y407" s="5">
        <f>IF($R407="","",IFERROR(INDEX('DM_XaPhuong'!$B$2:$B$169,AGGREGATE(15,6,ROW('DM_XaPhuong'!$B$2:$B$169)-ROW('DM_XaPhuong'!$B$2)+1/ISNUMBER(SEARCH(SUBSTITUTE(UPPER($R407)," ",""),'DM_XaPhuong'!$C$2:$C$169)),1)),"Không tìm thấy"))</f>
        <v/>
      </c>
      <c r="AB407" s="5">
        <f>IF($T407="","",IFERROR(INDEX('DM_NgheNghiep'!$B$2:$B$11,AGGREGATE(15,6,ROW('DM_NgheNghiep'!$B$2:$B$11)-ROW('DM_NgheNghiep'!$B$2)+1/ISNUMBER(SEARCH(SUBSTITUTE(UPPER($T407)," ",""),'DM_NgheNghiep'!$C$2:$C$11)),1)),"Không tìm thấy"))</f>
        <v/>
      </c>
      <c r="AD407" s="5">
        <f>IF($U407="","",IFERROR(INDEX('DM_NoiCongTac'!$B$2:$B$11,AGGREGATE(15,6,ROW('DM_NoiCongTac'!$B$2:$B$11)-ROW('DM_NoiCongTac'!$B$2)+1/ISNUMBER(SEARCH(SUBSTITUTE(UPPER($U407)," ",""),'DM_NoiCongTac'!$C$2:$C$11)),1)),"Không tìm thấy"))</f>
        <v/>
      </c>
      <c r="AF407" s="5">
        <f>IF($V407="","",IFERROR(INDEX('DM_XaPhuong'!$B$2:$B$169,AGGREGATE(15,6,ROW('DM_XaPhuong'!$B$2:$B$169)-ROW('DM_XaPhuong'!$B$2)+1/ISNUMBER(SEARCH(SUBSTITUTE(UPPER($V407)," ",""),'DM_XaPhuong'!$C$2:$C$169)),1)),"Không tìm thấy"))</f>
        <v/>
      </c>
    </row>
    <row r="408">
      <c r="C408" s="5">
        <f>IF($B408="","",IFERROR(INDEX('DM_DoiTuong'!$B$2:$B$19,AGGREGATE(15,6,ROW('DM_DoiTuong'!$B$2:$B$19)-ROW('DM_DoiTuong'!$B$2)+1/ISNUMBER(SEARCH(SUBSTITUTE(UPPER($B408)," ",""),'DM_DoiTuong'!$C$2:$C$19)),1)),"Không tìm thấy"))</f>
        <v/>
      </c>
      <c r="E408" s="5">
        <f>IF($C408="","",IFERROR(INDEX('DM_DiaDiemKham'!$B$2:$B$6,AGGREGATE(15,6,ROW('DM_DiaDiemKham'!$B$2:$B$6)-ROW('DM_DiaDiemKham'!$B$2)+1/ISNUMBER(SEARCH(SUBSTITUTE(UPPER($C408)," ",""),'DM_DiaDiemKham'!$C$2:$C$6)),1)),"Không tìm thấy"))</f>
        <v/>
      </c>
      <c r="G408" s="5">
        <f>IF($D408="","",IFERROR(INDEX('DM_HinhThucChiTra'!$B$2:$B$5,AGGREGATE(15,6,ROW('DM_HinhThucChiTra'!$B$2:$B$5)-ROW('DM_HinhThucChiTra'!$B$2)+1/ISNUMBER(SEARCH(SUBSTITUTE(UPPER($D408)," ",""),'DM_HinhThucChiTra'!$C$2:$C$5)),1)),"Không tìm thấy"))</f>
        <v/>
      </c>
      <c r="I408" s="5">
        <f>IF($E408="","",IFERROR(INDEX('DM_HinhThucKham'!$B$2:$B$3,AGGREGATE(15,6,ROW('DM_HinhThucKham'!$B$2:$B$3)-ROW('DM_HinhThucKham'!$B$2)+1/ISNUMBER(SEARCH(SUBSTITUTE(UPPER($E408)," ",""),'DM_HinhThucKham'!$C$2:$C$3)),1)),"Không tìm thấy"))</f>
        <v/>
      </c>
      <c r="P408" s="5">
        <f>IF($K408="","",IFERROR(INDEX('DM_DanToc'!$B$2:$B$78,AGGREGATE(15,6,ROW('DM_DanToc'!$B$2:$B$78)-ROW('DM_DanToc'!$B$2)+1/ISNUMBER(SEARCH(SUBSTITUTE(UPPER($K408)," ",""),'DM_DanToc'!$C$2:$C$78)),1)),"Không tìm thấy"))</f>
        <v/>
      </c>
      <c r="W408" s="5">
        <f>IF($Q408="","",IFERROR(INDEX('DM_TinhThanh'!$B$2:$B$35,AGGREGATE(15,6,ROW('DM_TinhThanh'!$B$2:$B$35)-ROW('DM_TinhThanh'!$B$2)+1/ISNUMBER(SEARCH(SUBSTITUTE(UPPER($Q408)," ",""),'DM_TinhThanh'!$C$2:$C$35)),1)),"Không tìm thấy"))</f>
        <v/>
      </c>
      <c r="Y408" s="5">
        <f>IF($R408="","",IFERROR(INDEX('DM_XaPhuong'!$B$2:$B$169,AGGREGATE(15,6,ROW('DM_XaPhuong'!$B$2:$B$169)-ROW('DM_XaPhuong'!$B$2)+1/ISNUMBER(SEARCH(SUBSTITUTE(UPPER($R408)," ",""),'DM_XaPhuong'!$C$2:$C$169)),1)),"Không tìm thấy"))</f>
        <v/>
      </c>
      <c r="AB408" s="5">
        <f>IF($T408="","",IFERROR(INDEX('DM_NgheNghiep'!$B$2:$B$11,AGGREGATE(15,6,ROW('DM_NgheNghiep'!$B$2:$B$11)-ROW('DM_NgheNghiep'!$B$2)+1/ISNUMBER(SEARCH(SUBSTITUTE(UPPER($T408)," ",""),'DM_NgheNghiep'!$C$2:$C$11)),1)),"Không tìm thấy"))</f>
        <v/>
      </c>
      <c r="AD408" s="5">
        <f>IF($U408="","",IFERROR(INDEX('DM_NoiCongTac'!$B$2:$B$11,AGGREGATE(15,6,ROW('DM_NoiCongTac'!$B$2:$B$11)-ROW('DM_NoiCongTac'!$B$2)+1/ISNUMBER(SEARCH(SUBSTITUTE(UPPER($U408)," ",""),'DM_NoiCongTac'!$C$2:$C$11)),1)),"Không tìm thấy"))</f>
        <v/>
      </c>
      <c r="AF408" s="5">
        <f>IF($V408="","",IFERROR(INDEX('DM_XaPhuong'!$B$2:$B$169,AGGREGATE(15,6,ROW('DM_XaPhuong'!$B$2:$B$169)-ROW('DM_XaPhuong'!$B$2)+1/ISNUMBER(SEARCH(SUBSTITUTE(UPPER($V408)," ",""),'DM_XaPhuong'!$C$2:$C$169)),1)),"Không tìm thấy"))</f>
        <v/>
      </c>
    </row>
    <row r="409">
      <c r="C409" s="5">
        <f>IF($B409="","",IFERROR(INDEX('DM_DoiTuong'!$B$2:$B$19,AGGREGATE(15,6,ROW('DM_DoiTuong'!$B$2:$B$19)-ROW('DM_DoiTuong'!$B$2)+1/ISNUMBER(SEARCH(SUBSTITUTE(UPPER($B409)," ",""),'DM_DoiTuong'!$C$2:$C$19)),1)),"Không tìm thấy"))</f>
        <v/>
      </c>
      <c r="E409" s="5">
        <f>IF($C409="","",IFERROR(INDEX('DM_DiaDiemKham'!$B$2:$B$6,AGGREGATE(15,6,ROW('DM_DiaDiemKham'!$B$2:$B$6)-ROW('DM_DiaDiemKham'!$B$2)+1/ISNUMBER(SEARCH(SUBSTITUTE(UPPER($C409)," ",""),'DM_DiaDiemKham'!$C$2:$C$6)),1)),"Không tìm thấy"))</f>
        <v/>
      </c>
      <c r="G409" s="5">
        <f>IF($D409="","",IFERROR(INDEX('DM_HinhThucChiTra'!$B$2:$B$5,AGGREGATE(15,6,ROW('DM_HinhThucChiTra'!$B$2:$B$5)-ROW('DM_HinhThucChiTra'!$B$2)+1/ISNUMBER(SEARCH(SUBSTITUTE(UPPER($D409)," ",""),'DM_HinhThucChiTra'!$C$2:$C$5)),1)),"Không tìm thấy"))</f>
        <v/>
      </c>
      <c r="I409" s="5">
        <f>IF($E409="","",IFERROR(INDEX('DM_HinhThucKham'!$B$2:$B$3,AGGREGATE(15,6,ROW('DM_HinhThucKham'!$B$2:$B$3)-ROW('DM_HinhThucKham'!$B$2)+1/ISNUMBER(SEARCH(SUBSTITUTE(UPPER($E409)," ",""),'DM_HinhThucKham'!$C$2:$C$3)),1)),"Không tìm thấy"))</f>
        <v/>
      </c>
      <c r="P409" s="5">
        <f>IF($K409="","",IFERROR(INDEX('DM_DanToc'!$B$2:$B$78,AGGREGATE(15,6,ROW('DM_DanToc'!$B$2:$B$78)-ROW('DM_DanToc'!$B$2)+1/ISNUMBER(SEARCH(SUBSTITUTE(UPPER($K409)," ",""),'DM_DanToc'!$C$2:$C$78)),1)),"Không tìm thấy"))</f>
        <v/>
      </c>
      <c r="W409" s="5">
        <f>IF($Q409="","",IFERROR(INDEX('DM_TinhThanh'!$B$2:$B$35,AGGREGATE(15,6,ROW('DM_TinhThanh'!$B$2:$B$35)-ROW('DM_TinhThanh'!$B$2)+1/ISNUMBER(SEARCH(SUBSTITUTE(UPPER($Q409)," ",""),'DM_TinhThanh'!$C$2:$C$35)),1)),"Không tìm thấy"))</f>
        <v/>
      </c>
      <c r="Y409" s="5">
        <f>IF($R409="","",IFERROR(INDEX('DM_XaPhuong'!$B$2:$B$169,AGGREGATE(15,6,ROW('DM_XaPhuong'!$B$2:$B$169)-ROW('DM_XaPhuong'!$B$2)+1/ISNUMBER(SEARCH(SUBSTITUTE(UPPER($R409)," ",""),'DM_XaPhuong'!$C$2:$C$169)),1)),"Không tìm thấy"))</f>
        <v/>
      </c>
      <c r="AB409" s="5">
        <f>IF($T409="","",IFERROR(INDEX('DM_NgheNghiep'!$B$2:$B$11,AGGREGATE(15,6,ROW('DM_NgheNghiep'!$B$2:$B$11)-ROW('DM_NgheNghiep'!$B$2)+1/ISNUMBER(SEARCH(SUBSTITUTE(UPPER($T409)," ",""),'DM_NgheNghiep'!$C$2:$C$11)),1)),"Không tìm thấy"))</f>
        <v/>
      </c>
      <c r="AD409" s="5">
        <f>IF($U409="","",IFERROR(INDEX('DM_NoiCongTac'!$B$2:$B$11,AGGREGATE(15,6,ROW('DM_NoiCongTac'!$B$2:$B$11)-ROW('DM_NoiCongTac'!$B$2)+1/ISNUMBER(SEARCH(SUBSTITUTE(UPPER($U409)," ",""),'DM_NoiCongTac'!$C$2:$C$11)),1)),"Không tìm thấy"))</f>
        <v/>
      </c>
      <c r="AF409" s="5">
        <f>IF($V409="","",IFERROR(INDEX('DM_XaPhuong'!$B$2:$B$169,AGGREGATE(15,6,ROW('DM_XaPhuong'!$B$2:$B$169)-ROW('DM_XaPhuong'!$B$2)+1/ISNUMBER(SEARCH(SUBSTITUTE(UPPER($V409)," ",""),'DM_XaPhuong'!$C$2:$C$169)),1)),"Không tìm thấy"))</f>
        <v/>
      </c>
    </row>
    <row r="410">
      <c r="C410" s="5">
        <f>IF($B410="","",IFERROR(INDEX('DM_DoiTuong'!$B$2:$B$19,AGGREGATE(15,6,ROW('DM_DoiTuong'!$B$2:$B$19)-ROW('DM_DoiTuong'!$B$2)+1/ISNUMBER(SEARCH(SUBSTITUTE(UPPER($B410)," ",""),'DM_DoiTuong'!$C$2:$C$19)),1)),"Không tìm thấy"))</f>
        <v/>
      </c>
      <c r="E410" s="5">
        <f>IF($C410="","",IFERROR(INDEX('DM_DiaDiemKham'!$B$2:$B$6,AGGREGATE(15,6,ROW('DM_DiaDiemKham'!$B$2:$B$6)-ROW('DM_DiaDiemKham'!$B$2)+1/ISNUMBER(SEARCH(SUBSTITUTE(UPPER($C410)," ",""),'DM_DiaDiemKham'!$C$2:$C$6)),1)),"Không tìm thấy"))</f>
        <v/>
      </c>
      <c r="G410" s="5">
        <f>IF($D410="","",IFERROR(INDEX('DM_HinhThucChiTra'!$B$2:$B$5,AGGREGATE(15,6,ROW('DM_HinhThucChiTra'!$B$2:$B$5)-ROW('DM_HinhThucChiTra'!$B$2)+1/ISNUMBER(SEARCH(SUBSTITUTE(UPPER($D410)," ",""),'DM_HinhThucChiTra'!$C$2:$C$5)),1)),"Không tìm thấy"))</f>
        <v/>
      </c>
      <c r="I410" s="5">
        <f>IF($E410="","",IFERROR(INDEX('DM_HinhThucKham'!$B$2:$B$3,AGGREGATE(15,6,ROW('DM_HinhThucKham'!$B$2:$B$3)-ROW('DM_HinhThucKham'!$B$2)+1/ISNUMBER(SEARCH(SUBSTITUTE(UPPER($E410)," ",""),'DM_HinhThucKham'!$C$2:$C$3)),1)),"Không tìm thấy"))</f>
        <v/>
      </c>
      <c r="P410" s="5">
        <f>IF($K410="","",IFERROR(INDEX('DM_DanToc'!$B$2:$B$78,AGGREGATE(15,6,ROW('DM_DanToc'!$B$2:$B$78)-ROW('DM_DanToc'!$B$2)+1/ISNUMBER(SEARCH(SUBSTITUTE(UPPER($K410)," ",""),'DM_DanToc'!$C$2:$C$78)),1)),"Không tìm thấy"))</f>
        <v/>
      </c>
      <c r="W410" s="5">
        <f>IF($Q410="","",IFERROR(INDEX('DM_TinhThanh'!$B$2:$B$35,AGGREGATE(15,6,ROW('DM_TinhThanh'!$B$2:$B$35)-ROW('DM_TinhThanh'!$B$2)+1/ISNUMBER(SEARCH(SUBSTITUTE(UPPER($Q410)," ",""),'DM_TinhThanh'!$C$2:$C$35)),1)),"Không tìm thấy"))</f>
        <v/>
      </c>
      <c r="Y410" s="5">
        <f>IF($R410="","",IFERROR(INDEX('DM_XaPhuong'!$B$2:$B$169,AGGREGATE(15,6,ROW('DM_XaPhuong'!$B$2:$B$169)-ROW('DM_XaPhuong'!$B$2)+1/ISNUMBER(SEARCH(SUBSTITUTE(UPPER($R410)," ",""),'DM_XaPhuong'!$C$2:$C$169)),1)),"Không tìm thấy"))</f>
        <v/>
      </c>
      <c r="AB410" s="5">
        <f>IF($T410="","",IFERROR(INDEX('DM_NgheNghiep'!$B$2:$B$11,AGGREGATE(15,6,ROW('DM_NgheNghiep'!$B$2:$B$11)-ROW('DM_NgheNghiep'!$B$2)+1/ISNUMBER(SEARCH(SUBSTITUTE(UPPER($T410)," ",""),'DM_NgheNghiep'!$C$2:$C$11)),1)),"Không tìm thấy"))</f>
        <v/>
      </c>
      <c r="AD410" s="5">
        <f>IF($U410="","",IFERROR(INDEX('DM_NoiCongTac'!$B$2:$B$11,AGGREGATE(15,6,ROW('DM_NoiCongTac'!$B$2:$B$11)-ROW('DM_NoiCongTac'!$B$2)+1/ISNUMBER(SEARCH(SUBSTITUTE(UPPER($U410)," ",""),'DM_NoiCongTac'!$C$2:$C$11)),1)),"Không tìm thấy"))</f>
        <v/>
      </c>
      <c r="AF410" s="5">
        <f>IF($V410="","",IFERROR(INDEX('DM_XaPhuong'!$B$2:$B$169,AGGREGATE(15,6,ROW('DM_XaPhuong'!$B$2:$B$169)-ROW('DM_XaPhuong'!$B$2)+1/ISNUMBER(SEARCH(SUBSTITUTE(UPPER($V410)," ",""),'DM_XaPhuong'!$C$2:$C$169)),1)),"Không tìm thấy"))</f>
        <v/>
      </c>
    </row>
    <row r="411">
      <c r="C411" s="5">
        <f>IF($B411="","",IFERROR(INDEX('DM_DoiTuong'!$B$2:$B$19,AGGREGATE(15,6,ROW('DM_DoiTuong'!$B$2:$B$19)-ROW('DM_DoiTuong'!$B$2)+1/ISNUMBER(SEARCH(SUBSTITUTE(UPPER($B411)," ",""),'DM_DoiTuong'!$C$2:$C$19)),1)),"Không tìm thấy"))</f>
        <v/>
      </c>
      <c r="E411" s="5">
        <f>IF($C411="","",IFERROR(INDEX('DM_DiaDiemKham'!$B$2:$B$6,AGGREGATE(15,6,ROW('DM_DiaDiemKham'!$B$2:$B$6)-ROW('DM_DiaDiemKham'!$B$2)+1/ISNUMBER(SEARCH(SUBSTITUTE(UPPER($C411)," ",""),'DM_DiaDiemKham'!$C$2:$C$6)),1)),"Không tìm thấy"))</f>
        <v/>
      </c>
      <c r="G411" s="5">
        <f>IF($D411="","",IFERROR(INDEX('DM_HinhThucChiTra'!$B$2:$B$5,AGGREGATE(15,6,ROW('DM_HinhThucChiTra'!$B$2:$B$5)-ROW('DM_HinhThucChiTra'!$B$2)+1/ISNUMBER(SEARCH(SUBSTITUTE(UPPER($D411)," ",""),'DM_HinhThucChiTra'!$C$2:$C$5)),1)),"Không tìm thấy"))</f>
        <v/>
      </c>
      <c r="I411" s="5">
        <f>IF($E411="","",IFERROR(INDEX('DM_HinhThucKham'!$B$2:$B$3,AGGREGATE(15,6,ROW('DM_HinhThucKham'!$B$2:$B$3)-ROW('DM_HinhThucKham'!$B$2)+1/ISNUMBER(SEARCH(SUBSTITUTE(UPPER($E411)," ",""),'DM_HinhThucKham'!$C$2:$C$3)),1)),"Không tìm thấy"))</f>
        <v/>
      </c>
      <c r="P411" s="5">
        <f>IF($K411="","",IFERROR(INDEX('DM_DanToc'!$B$2:$B$78,AGGREGATE(15,6,ROW('DM_DanToc'!$B$2:$B$78)-ROW('DM_DanToc'!$B$2)+1/ISNUMBER(SEARCH(SUBSTITUTE(UPPER($K411)," ",""),'DM_DanToc'!$C$2:$C$78)),1)),"Không tìm thấy"))</f>
        <v/>
      </c>
      <c r="W411" s="5">
        <f>IF($Q411="","",IFERROR(INDEX('DM_TinhThanh'!$B$2:$B$35,AGGREGATE(15,6,ROW('DM_TinhThanh'!$B$2:$B$35)-ROW('DM_TinhThanh'!$B$2)+1/ISNUMBER(SEARCH(SUBSTITUTE(UPPER($Q411)," ",""),'DM_TinhThanh'!$C$2:$C$35)),1)),"Không tìm thấy"))</f>
        <v/>
      </c>
      <c r="Y411" s="5">
        <f>IF($R411="","",IFERROR(INDEX('DM_XaPhuong'!$B$2:$B$169,AGGREGATE(15,6,ROW('DM_XaPhuong'!$B$2:$B$169)-ROW('DM_XaPhuong'!$B$2)+1/ISNUMBER(SEARCH(SUBSTITUTE(UPPER($R411)," ",""),'DM_XaPhuong'!$C$2:$C$169)),1)),"Không tìm thấy"))</f>
        <v/>
      </c>
      <c r="AB411" s="5">
        <f>IF($T411="","",IFERROR(INDEX('DM_NgheNghiep'!$B$2:$B$11,AGGREGATE(15,6,ROW('DM_NgheNghiep'!$B$2:$B$11)-ROW('DM_NgheNghiep'!$B$2)+1/ISNUMBER(SEARCH(SUBSTITUTE(UPPER($T411)," ",""),'DM_NgheNghiep'!$C$2:$C$11)),1)),"Không tìm thấy"))</f>
        <v/>
      </c>
      <c r="AD411" s="5">
        <f>IF($U411="","",IFERROR(INDEX('DM_NoiCongTac'!$B$2:$B$11,AGGREGATE(15,6,ROW('DM_NoiCongTac'!$B$2:$B$11)-ROW('DM_NoiCongTac'!$B$2)+1/ISNUMBER(SEARCH(SUBSTITUTE(UPPER($U411)," ",""),'DM_NoiCongTac'!$C$2:$C$11)),1)),"Không tìm thấy"))</f>
        <v/>
      </c>
      <c r="AF411" s="5">
        <f>IF($V411="","",IFERROR(INDEX('DM_XaPhuong'!$B$2:$B$169,AGGREGATE(15,6,ROW('DM_XaPhuong'!$B$2:$B$169)-ROW('DM_XaPhuong'!$B$2)+1/ISNUMBER(SEARCH(SUBSTITUTE(UPPER($V411)," ",""),'DM_XaPhuong'!$C$2:$C$169)),1)),"Không tìm thấy"))</f>
        <v/>
      </c>
    </row>
    <row r="412">
      <c r="C412" s="5">
        <f>IF($B412="","",IFERROR(INDEX('DM_DoiTuong'!$B$2:$B$19,AGGREGATE(15,6,ROW('DM_DoiTuong'!$B$2:$B$19)-ROW('DM_DoiTuong'!$B$2)+1/ISNUMBER(SEARCH(SUBSTITUTE(UPPER($B412)," ",""),'DM_DoiTuong'!$C$2:$C$19)),1)),"Không tìm thấy"))</f>
        <v/>
      </c>
      <c r="E412" s="5">
        <f>IF($C412="","",IFERROR(INDEX('DM_DiaDiemKham'!$B$2:$B$6,AGGREGATE(15,6,ROW('DM_DiaDiemKham'!$B$2:$B$6)-ROW('DM_DiaDiemKham'!$B$2)+1/ISNUMBER(SEARCH(SUBSTITUTE(UPPER($C412)," ",""),'DM_DiaDiemKham'!$C$2:$C$6)),1)),"Không tìm thấy"))</f>
        <v/>
      </c>
      <c r="G412" s="5">
        <f>IF($D412="","",IFERROR(INDEX('DM_HinhThucChiTra'!$B$2:$B$5,AGGREGATE(15,6,ROW('DM_HinhThucChiTra'!$B$2:$B$5)-ROW('DM_HinhThucChiTra'!$B$2)+1/ISNUMBER(SEARCH(SUBSTITUTE(UPPER($D412)," ",""),'DM_HinhThucChiTra'!$C$2:$C$5)),1)),"Không tìm thấy"))</f>
        <v/>
      </c>
      <c r="I412" s="5">
        <f>IF($E412="","",IFERROR(INDEX('DM_HinhThucKham'!$B$2:$B$3,AGGREGATE(15,6,ROW('DM_HinhThucKham'!$B$2:$B$3)-ROW('DM_HinhThucKham'!$B$2)+1/ISNUMBER(SEARCH(SUBSTITUTE(UPPER($E412)," ",""),'DM_HinhThucKham'!$C$2:$C$3)),1)),"Không tìm thấy"))</f>
        <v/>
      </c>
      <c r="P412" s="5">
        <f>IF($K412="","",IFERROR(INDEX('DM_DanToc'!$B$2:$B$78,AGGREGATE(15,6,ROW('DM_DanToc'!$B$2:$B$78)-ROW('DM_DanToc'!$B$2)+1/ISNUMBER(SEARCH(SUBSTITUTE(UPPER($K412)," ",""),'DM_DanToc'!$C$2:$C$78)),1)),"Không tìm thấy"))</f>
        <v/>
      </c>
      <c r="W412" s="5">
        <f>IF($Q412="","",IFERROR(INDEX('DM_TinhThanh'!$B$2:$B$35,AGGREGATE(15,6,ROW('DM_TinhThanh'!$B$2:$B$35)-ROW('DM_TinhThanh'!$B$2)+1/ISNUMBER(SEARCH(SUBSTITUTE(UPPER($Q412)," ",""),'DM_TinhThanh'!$C$2:$C$35)),1)),"Không tìm thấy"))</f>
        <v/>
      </c>
      <c r="Y412" s="5">
        <f>IF($R412="","",IFERROR(INDEX('DM_XaPhuong'!$B$2:$B$169,AGGREGATE(15,6,ROW('DM_XaPhuong'!$B$2:$B$169)-ROW('DM_XaPhuong'!$B$2)+1/ISNUMBER(SEARCH(SUBSTITUTE(UPPER($R412)," ",""),'DM_XaPhuong'!$C$2:$C$169)),1)),"Không tìm thấy"))</f>
        <v/>
      </c>
      <c r="AB412" s="5">
        <f>IF($T412="","",IFERROR(INDEX('DM_NgheNghiep'!$B$2:$B$11,AGGREGATE(15,6,ROW('DM_NgheNghiep'!$B$2:$B$11)-ROW('DM_NgheNghiep'!$B$2)+1/ISNUMBER(SEARCH(SUBSTITUTE(UPPER($T412)," ",""),'DM_NgheNghiep'!$C$2:$C$11)),1)),"Không tìm thấy"))</f>
        <v/>
      </c>
      <c r="AD412" s="5">
        <f>IF($U412="","",IFERROR(INDEX('DM_NoiCongTac'!$B$2:$B$11,AGGREGATE(15,6,ROW('DM_NoiCongTac'!$B$2:$B$11)-ROW('DM_NoiCongTac'!$B$2)+1/ISNUMBER(SEARCH(SUBSTITUTE(UPPER($U412)," ",""),'DM_NoiCongTac'!$C$2:$C$11)),1)),"Không tìm thấy"))</f>
        <v/>
      </c>
      <c r="AF412" s="5">
        <f>IF($V412="","",IFERROR(INDEX('DM_XaPhuong'!$B$2:$B$169,AGGREGATE(15,6,ROW('DM_XaPhuong'!$B$2:$B$169)-ROW('DM_XaPhuong'!$B$2)+1/ISNUMBER(SEARCH(SUBSTITUTE(UPPER($V412)," ",""),'DM_XaPhuong'!$C$2:$C$169)),1)),"Không tìm thấy"))</f>
        <v/>
      </c>
    </row>
    <row r="413">
      <c r="C413" s="5">
        <f>IF($B413="","",IFERROR(INDEX('DM_DoiTuong'!$B$2:$B$19,AGGREGATE(15,6,ROW('DM_DoiTuong'!$B$2:$B$19)-ROW('DM_DoiTuong'!$B$2)+1/ISNUMBER(SEARCH(SUBSTITUTE(UPPER($B413)," ",""),'DM_DoiTuong'!$C$2:$C$19)),1)),"Không tìm thấy"))</f>
        <v/>
      </c>
      <c r="E413" s="5">
        <f>IF($C413="","",IFERROR(INDEX('DM_DiaDiemKham'!$B$2:$B$6,AGGREGATE(15,6,ROW('DM_DiaDiemKham'!$B$2:$B$6)-ROW('DM_DiaDiemKham'!$B$2)+1/ISNUMBER(SEARCH(SUBSTITUTE(UPPER($C413)," ",""),'DM_DiaDiemKham'!$C$2:$C$6)),1)),"Không tìm thấy"))</f>
        <v/>
      </c>
      <c r="G413" s="5">
        <f>IF($D413="","",IFERROR(INDEX('DM_HinhThucChiTra'!$B$2:$B$5,AGGREGATE(15,6,ROW('DM_HinhThucChiTra'!$B$2:$B$5)-ROW('DM_HinhThucChiTra'!$B$2)+1/ISNUMBER(SEARCH(SUBSTITUTE(UPPER($D413)," ",""),'DM_HinhThucChiTra'!$C$2:$C$5)),1)),"Không tìm thấy"))</f>
        <v/>
      </c>
      <c r="I413" s="5">
        <f>IF($E413="","",IFERROR(INDEX('DM_HinhThucKham'!$B$2:$B$3,AGGREGATE(15,6,ROW('DM_HinhThucKham'!$B$2:$B$3)-ROW('DM_HinhThucKham'!$B$2)+1/ISNUMBER(SEARCH(SUBSTITUTE(UPPER($E413)," ",""),'DM_HinhThucKham'!$C$2:$C$3)),1)),"Không tìm thấy"))</f>
        <v/>
      </c>
      <c r="P413" s="5">
        <f>IF($K413="","",IFERROR(INDEX('DM_DanToc'!$B$2:$B$78,AGGREGATE(15,6,ROW('DM_DanToc'!$B$2:$B$78)-ROW('DM_DanToc'!$B$2)+1/ISNUMBER(SEARCH(SUBSTITUTE(UPPER($K413)," ",""),'DM_DanToc'!$C$2:$C$78)),1)),"Không tìm thấy"))</f>
        <v/>
      </c>
      <c r="W413" s="5">
        <f>IF($Q413="","",IFERROR(INDEX('DM_TinhThanh'!$B$2:$B$35,AGGREGATE(15,6,ROW('DM_TinhThanh'!$B$2:$B$35)-ROW('DM_TinhThanh'!$B$2)+1/ISNUMBER(SEARCH(SUBSTITUTE(UPPER($Q413)," ",""),'DM_TinhThanh'!$C$2:$C$35)),1)),"Không tìm thấy"))</f>
        <v/>
      </c>
      <c r="Y413" s="5">
        <f>IF($R413="","",IFERROR(INDEX('DM_XaPhuong'!$B$2:$B$169,AGGREGATE(15,6,ROW('DM_XaPhuong'!$B$2:$B$169)-ROW('DM_XaPhuong'!$B$2)+1/ISNUMBER(SEARCH(SUBSTITUTE(UPPER($R413)," ",""),'DM_XaPhuong'!$C$2:$C$169)),1)),"Không tìm thấy"))</f>
        <v/>
      </c>
      <c r="AB413" s="5">
        <f>IF($T413="","",IFERROR(INDEX('DM_NgheNghiep'!$B$2:$B$11,AGGREGATE(15,6,ROW('DM_NgheNghiep'!$B$2:$B$11)-ROW('DM_NgheNghiep'!$B$2)+1/ISNUMBER(SEARCH(SUBSTITUTE(UPPER($T413)," ",""),'DM_NgheNghiep'!$C$2:$C$11)),1)),"Không tìm thấy"))</f>
        <v/>
      </c>
      <c r="AD413" s="5">
        <f>IF($U413="","",IFERROR(INDEX('DM_NoiCongTac'!$B$2:$B$11,AGGREGATE(15,6,ROW('DM_NoiCongTac'!$B$2:$B$11)-ROW('DM_NoiCongTac'!$B$2)+1/ISNUMBER(SEARCH(SUBSTITUTE(UPPER($U413)," ",""),'DM_NoiCongTac'!$C$2:$C$11)),1)),"Không tìm thấy"))</f>
        <v/>
      </c>
      <c r="AF413" s="5">
        <f>IF($V413="","",IFERROR(INDEX('DM_XaPhuong'!$B$2:$B$169,AGGREGATE(15,6,ROW('DM_XaPhuong'!$B$2:$B$169)-ROW('DM_XaPhuong'!$B$2)+1/ISNUMBER(SEARCH(SUBSTITUTE(UPPER($V413)," ",""),'DM_XaPhuong'!$C$2:$C$169)),1)),"Không tìm thấy"))</f>
        <v/>
      </c>
    </row>
    <row r="414">
      <c r="C414" s="5">
        <f>IF($B414="","",IFERROR(INDEX('DM_DoiTuong'!$B$2:$B$19,AGGREGATE(15,6,ROW('DM_DoiTuong'!$B$2:$B$19)-ROW('DM_DoiTuong'!$B$2)+1/ISNUMBER(SEARCH(SUBSTITUTE(UPPER($B414)," ",""),'DM_DoiTuong'!$C$2:$C$19)),1)),"Không tìm thấy"))</f>
        <v/>
      </c>
      <c r="E414" s="5">
        <f>IF($C414="","",IFERROR(INDEX('DM_DiaDiemKham'!$B$2:$B$6,AGGREGATE(15,6,ROW('DM_DiaDiemKham'!$B$2:$B$6)-ROW('DM_DiaDiemKham'!$B$2)+1/ISNUMBER(SEARCH(SUBSTITUTE(UPPER($C414)," ",""),'DM_DiaDiemKham'!$C$2:$C$6)),1)),"Không tìm thấy"))</f>
        <v/>
      </c>
      <c r="G414" s="5">
        <f>IF($D414="","",IFERROR(INDEX('DM_HinhThucChiTra'!$B$2:$B$5,AGGREGATE(15,6,ROW('DM_HinhThucChiTra'!$B$2:$B$5)-ROW('DM_HinhThucChiTra'!$B$2)+1/ISNUMBER(SEARCH(SUBSTITUTE(UPPER($D414)," ",""),'DM_HinhThucChiTra'!$C$2:$C$5)),1)),"Không tìm thấy"))</f>
        <v/>
      </c>
      <c r="I414" s="5">
        <f>IF($E414="","",IFERROR(INDEX('DM_HinhThucKham'!$B$2:$B$3,AGGREGATE(15,6,ROW('DM_HinhThucKham'!$B$2:$B$3)-ROW('DM_HinhThucKham'!$B$2)+1/ISNUMBER(SEARCH(SUBSTITUTE(UPPER($E414)," ",""),'DM_HinhThucKham'!$C$2:$C$3)),1)),"Không tìm thấy"))</f>
        <v/>
      </c>
      <c r="P414" s="5">
        <f>IF($K414="","",IFERROR(INDEX('DM_DanToc'!$B$2:$B$78,AGGREGATE(15,6,ROW('DM_DanToc'!$B$2:$B$78)-ROW('DM_DanToc'!$B$2)+1/ISNUMBER(SEARCH(SUBSTITUTE(UPPER($K414)," ",""),'DM_DanToc'!$C$2:$C$78)),1)),"Không tìm thấy"))</f>
        <v/>
      </c>
      <c r="W414" s="5">
        <f>IF($Q414="","",IFERROR(INDEX('DM_TinhThanh'!$B$2:$B$35,AGGREGATE(15,6,ROW('DM_TinhThanh'!$B$2:$B$35)-ROW('DM_TinhThanh'!$B$2)+1/ISNUMBER(SEARCH(SUBSTITUTE(UPPER($Q414)," ",""),'DM_TinhThanh'!$C$2:$C$35)),1)),"Không tìm thấy"))</f>
        <v/>
      </c>
      <c r="Y414" s="5">
        <f>IF($R414="","",IFERROR(INDEX('DM_XaPhuong'!$B$2:$B$169,AGGREGATE(15,6,ROW('DM_XaPhuong'!$B$2:$B$169)-ROW('DM_XaPhuong'!$B$2)+1/ISNUMBER(SEARCH(SUBSTITUTE(UPPER($R414)," ",""),'DM_XaPhuong'!$C$2:$C$169)),1)),"Không tìm thấy"))</f>
        <v/>
      </c>
      <c r="AB414" s="5">
        <f>IF($T414="","",IFERROR(INDEX('DM_NgheNghiep'!$B$2:$B$11,AGGREGATE(15,6,ROW('DM_NgheNghiep'!$B$2:$B$11)-ROW('DM_NgheNghiep'!$B$2)+1/ISNUMBER(SEARCH(SUBSTITUTE(UPPER($T414)," ",""),'DM_NgheNghiep'!$C$2:$C$11)),1)),"Không tìm thấy"))</f>
        <v/>
      </c>
      <c r="AD414" s="5">
        <f>IF($U414="","",IFERROR(INDEX('DM_NoiCongTac'!$B$2:$B$11,AGGREGATE(15,6,ROW('DM_NoiCongTac'!$B$2:$B$11)-ROW('DM_NoiCongTac'!$B$2)+1/ISNUMBER(SEARCH(SUBSTITUTE(UPPER($U414)," ",""),'DM_NoiCongTac'!$C$2:$C$11)),1)),"Không tìm thấy"))</f>
        <v/>
      </c>
      <c r="AF414" s="5">
        <f>IF($V414="","",IFERROR(INDEX('DM_XaPhuong'!$B$2:$B$169,AGGREGATE(15,6,ROW('DM_XaPhuong'!$B$2:$B$169)-ROW('DM_XaPhuong'!$B$2)+1/ISNUMBER(SEARCH(SUBSTITUTE(UPPER($V414)," ",""),'DM_XaPhuong'!$C$2:$C$169)),1)),"Không tìm thấy"))</f>
        <v/>
      </c>
    </row>
    <row r="415">
      <c r="C415" s="5">
        <f>IF($B415="","",IFERROR(INDEX('DM_DoiTuong'!$B$2:$B$19,AGGREGATE(15,6,ROW('DM_DoiTuong'!$B$2:$B$19)-ROW('DM_DoiTuong'!$B$2)+1/ISNUMBER(SEARCH(SUBSTITUTE(UPPER($B415)," ",""),'DM_DoiTuong'!$C$2:$C$19)),1)),"Không tìm thấy"))</f>
        <v/>
      </c>
      <c r="E415" s="5">
        <f>IF($C415="","",IFERROR(INDEX('DM_DiaDiemKham'!$B$2:$B$6,AGGREGATE(15,6,ROW('DM_DiaDiemKham'!$B$2:$B$6)-ROW('DM_DiaDiemKham'!$B$2)+1/ISNUMBER(SEARCH(SUBSTITUTE(UPPER($C415)," ",""),'DM_DiaDiemKham'!$C$2:$C$6)),1)),"Không tìm thấy"))</f>
        <v/>
      </c>
      <c r="G415" s="5">
        <f>IF($D415="","",IFERROR(INDEX('DM_HinhThucChiTra'!$B$2:$B$5,AGGREGATE(15,6,ROW('DM_HinhThucChiTra'!$B$2:$B$5)-ROW('DM_HinhThucChiTra'!$B$2)+1/ISNUMBER(SEARCH(SUBSTITUTE(UPPER($D415)," ",""),'DM_HinhThucChiTra'!$C$2:$C$5)),1)),"Không tìm thấy"))</f>
        <v/>
      </c>
      <c r="I415" s="5">
        <f>IF($E415="","",IFERROR(INDEX('DM_HinhThucKham'!$B$2:$B$3,AGGREGATE(15,6,ROW('DM_HinhThucKham'!$B$2:$B$3)-ROW('DM_HinhThucKham'!$B$2)+1/ISNUMBER(SEARCH(SUBSTITUTE(UPPER($E415)," ",""),'DM_HinhThucKham'!$C$2:$C$3)),1)),"Không tìm thấy"))</f>
        <v/>
      </c>
      <c r="P415" s="5">
        <f>IF($K415="","",IFERROR(INDEX('DM_DanToc'!$B$2:$B$78,AGGREGATE(15,6,ROW('DM_DanToc'!$B$2:$B$78)-ROW('DM_DanToc'!$B$2)+1/ISNUMBER(SEARCH(SUBSTITUTE(UPPER($K415)," ",""),'DM_DanToc'!$C$2:$C$78)),1)),"Không tìm thấy"))</f>
        <v/>
      </c>
      <c r="W415" s="5">
        <f>IF($Q415="","",IFERROR(INDEX('DM_TinhThanh'!$B$2:$B$35,AGGREGATE(15,6,ROW('DM_TinhThanh'!$B$2:$B$35)-ROW('DM_TinhThanh'!$B$2)+1/ISNUMBER(SEARCH(SUBSTITUTE(UPPER($Q415)," ",""),'DM_TinhThanh'!$C$2:$C$35)),1)),"Không tìm thấy"))</f>
        <v/>
      </c>
      <c r="Y415" s="5">
        <f>IF($R415="","",IFERROR(INDEX('DM_XaPhuong'!$B$2:$B$169,AGGREGATE(15,6,ROW('DM_XaPhuong'!$B$2:$B$169)-ROW('DM_XaPhuong'!$B$2)+1/ISNUMBER(SEARCH(SUBSTITUTE(UPPER($R415)," ",""),'DM_XaPhuong'!$C$2:$C$169)),1)),"Không tìm thấy"))</f>
        <v/>
      </c>
      <c r="AB415" s="5">
        <f>IF($T415="","",IFERROR(INDEX('DM_NgheNghiep'!$B$2:$B$11,AGGREGATE(15,6,ROW('DM_NgheNghiep'!$B$2:$B$11)-ROW('DM_NgheNghiep'!$B$2)+1/ISNUMBER(SEARCH(SUBSTITUTE(UPPER($T415)," ",""),'DM_NgheNghiep'!$C$2:$C$11)),1)),"Không tìm thấy"))</f>
        <v/>
      </c>
      <c r="AD415" s="5">
        <f>IF($U415="","",IFERROR(INDEX('DM_NoiCongTac'!$B$2:$B$11,AGGREGATE(15,6,ROW('DM_NoiCongTac'!$B$2:$B$11)-ROW('DM_NoiCongTac'!$B$2)+1/ISNUMBER(SEARCH(SUBSTITUTE(UPPER($U415)," ",""),'DM_NoiCongTac'!$C$2:$C$11)),1)),"Không tìm thấy"))</f>
        <v/>
      </c>
      <c r="AF415" s="5">
        <f>IF($V415="","",IFERROR(INDEX('DM_XaPhuong'!$B$2:$B$169,AGGREGATE(15,6,ROW('DM_XaPhuong'!$B$2:$B$169)-ROW('DM_XaPhuong'!$B$2)+1/ISNUMBER(SEARCH(SUBSTITUTE(UPPER($V415)," ",""),'DM_XaPhuong'!$C$2:$C$169)),1)),"Không tìm thấy"))</f>
        <v/>
      </c>
    </row>
    <row r="416">
      <c r="C416" s="5">
        <f>IF($B416="","",IFERROR(INDEX('DM_DoiTuong'!$B$2:$B$19,AGGREGATE(15,6,ROW('DM_DoiTuong'!$B$2:$B$19)-ROW('DM_DoiTuong'!$B$2)+1/ISNUMBER(SEARCH(SUBSTITUTE(UPPER($B416)," ",""),'DM_DoiTuong'!$C$2:$C$19)),1)),"Không tìm thấy"))</f>
        <v/>
      </c>
      <c r="E416" s="5">
        <f>IF($C416="","",IFERROR(INDEX('DM_DiaDiemKham'!$B$2:$B$6,AGGREGATE(15,6,ROW('DM_DiaDiemKham'!$B$2:$B$6)-ROW('DM_DiaDiemKham'!$B$2)+1/ISNUMBER(SEARCH(SUBSTITUTE(UPPER($C416)," ",""),'DM_DiaDiemKham'!$C$2:$C$6)),1)),"Không tìm thấy"))</f>
        <v/>
      </c>
      <c r="G416" s="5">
        <f>IF($D416="","",IFERROR(INDEX('DM_HinhThucChiTra'!$B$2:$B$5,AGGREGATE(15,6,ROW('DM_HinhThucChiTra'!$B$2:$B$5)-ROW('DM_HinhThucChiTra'!$B$2)+1/ISNUMBER(SEARCH(SUBSTITUTE(UPPER($D416)," ",""),'DM_HinhThucChiTra'!$C$2:$C$5)),1)),"Không tìm thấy"))</f>
        <v/>
      </c>
      <c r="I416" s="5">
        <f>IF($E416="","",IFERROR(INDEX('DM_HinhThucKham'!$B$2:$B$3,AGGREGATE(15,6,ROW('DM_HinhThucKham'!$B$2:$B$3)-ROW('DM_HinhThucKham'!$B$2)+1/ISNUMBER(SEARCH(SUBSTITUTE(UPPER($E416)," ",""),'DM_HinhThucKham'!$C$2:$C$3)),1)),"Không tìm thấy"))</f>
        <v/>
      </c>
      <c r="P416" s="5">
        <f>IF($K416="","",IFERROR(INDEX('DM_DanToc'!$B$2:$B$78,AGGREGATE(15,6,ROW('DM_DanToc'!$B$2:$B$78)-ROW('DM_DanToc'!$B$2)+1/ISNUMBER(SEARCH(SUBSTITUTE(UPPER($K416)," ",""),'DM_DanToc'!$C$2:$C$78)),1)),"Không tìm thấy"))</f>
        <v/>
      </c>
      <c r="W416" s="5">
        <f>IF($Q416="","",IFERROR(INDEX('DM_TinhThanh'!$B$2:$B$35,AGGREGATE(15,6,ROW('DM_TinhThanh'!$B$2:$B$35)-ROW('DM_TinhThanh'!$B$2)+1/ISNUMBER(SEARCH(SUBSTITUTE(UPPER($Q416)," ",""),'DM_TinhThanh'!$C$2:$C$35)),1)),"Không tìm thấy"))</f>
        <v/>
      </c>
      <c r="Y416" s="5">
        <f>IF($R416="","",IFERROR(INDEX('DM_XaPhuong'!$B$2:$B$169,AGGREGATE(15,6,ROW('DM_XaPhuong'!$B$2:$B$169)-ROW('DM_XaPhuong'!$B$2)+1/ISNUMBER(SEARCH(SUBSTITUTE(UPPER($R416)," ",""),'DM_XaPhuong'!$C$2:$C$169)),1)),"Không tìm thấy"))</f>
        <v/>
      </c>
      <c r="AB416" s="5">
        <f>IF($T416="","",IFERROR(INDEX('DM_NgheNghiep'!$B$2:$B$11,AGGREGATE(15,6,ROW('DM_NgheNghiep'!$B$2:$B$11)-ROW('DM_NgheNghiep'!$B$2)+1/ISNUMBER(SEARCH(SUBSTITUTE(UPPER($T416)," ",""),'DM_NgheNghiep'!$C$2:$C$11)),1)),"Không tìm thấy"))</f>
        <v/>
      </c>
      <c r="AD416" s="5">
        <f>IF($U416="","",IFERROR(INDEX('DM_NoiCongTac'!$B$2:$B$11,AGGREGATE(15,6,ROW('DM_NoiCongTac'!$B$2:$B$11)-ROW('DM_NoiCongTac'!$B$2)+1/ISNUMBER(SEARCH(SUBSTITUTE(UPPER($U416)," ",""),'DM_NoiCongTac'!$C$2:$C$11)),1)),"Không tìm thấy"))</f>
        <v/>
      </c>
      <c r="AF416" s="5">
        <f>IF($V416="","",IFERROR(INDEX('DM_XaPhuong'!$B$2:$B$169,AGGREGATE(15,6,ROW('DM_XaPhuong'!$B$2:$B$169)-ROW('DM_XaPhuong'!$B$2)+1/ISNUMBER(SEARCH(SUBSTITUTE(UPPER($V416)," ",""),'DM_XaPhuong'!$C$2:$C$169)),1)),"Không tìm thấy"))</f>
        <v/>
      </c>
    </row>
    <row r="417">
      <c r="C417" s="5">
        <f>IF($B417="","",IFERROR(INDEX('DM_DoiTuong'!$B$2:$B$19,AGGREGATE(15,6,ROW('DM_DoiTuong'!$B$2:$B$19)-ROW('DM_DoiTuong'!$B$2)+1/ISNUMBER(SEARCH(SUBSTITUTE(UPPER($B417)," ",""),'DM_DoiTuong'!$C$2:$C$19)),1)),"Không tìm thấy"))</f>
        <v/>
      </c>
      <c r="E417" s="5">
        <f>IF($C417="","",IFERROR(INDEX('DM_DiaDiemKham'!$B$2:$B$6,AGGREGATE(15,6,ROW('DM_DiaDiemKham'!$B$2:$B$6)-ROW('DM_DiaDiemKham'!$B$2)+1/ISNUMBER(SEARCH(SUBSTITUTE(UPPER($C417)," ",""),'DM_DiaDiemKham'!$C$2:$C$6)),1)),"Không tìm thấy"))</f>
        <v/>
      </c>
      <c r="G417" s="5">
        <f>IF($D417="","",IFERROR(INDEX('DM_HinhThucChiTra'!$B$2:$B$5,AGGREGATE(15,6,ROW('DM_HinhThucChiTra'!$B$2:$B$5)-ROW('DM_HinhThucChiTra'!$B$2)+1/ISNUMBER(SEARCH(SUBSTITUTE(UPPER($D417)," ",""),'DM_HinhThucChiTra'!$C$2:$C$5)),1)),"Không tìm thấy"))</f>
        <v/>
      </c>
      <c r="I417" s="5">
        <f>IF($E417="","",IFERROR(INDEX('DM_HinhThucKham'!$B$2:$B$3,AGGREGATE(15,6,ROW('DM_HinhThucKham'!$B$2:$B$3)-ROW('DM_HinhThucKham'!$B$2)+1/ISNUMBER(SEARCH(SUBSTITUTE(UPPER($E417)," ",""),'DM_HinhThucKham'!$C$2:$C$3)),1)),"Không tìm thấy"))</f>
        <v/>
      </c>
      <c r="P417" s="5">
        <f>IF($K417="","",IFERROR(INDEX('DM_DanToc'!$B$2:$B$78,AGGREGATE(15,6,ROW('DM_DanToc'!$B$2:$B$78)-ROW('DM_DanToc'!$B$2)+1/ISNUMBER(SEARCH(SUBSTITUTE(UPPER($K417)," ",""),'DM_DanToc'!$C$2:$C$78)),1)),"Không tìm thấy"))</f>
        <v/>
      </c>
      <c r="W417" s="5">
        <f>IF($Q417="","",IFERROR(INDEX('DM_TinhThanh'!$B$2:$B$35,AGGREGATE(15,6,ROW('DM_TinhThanh'!$B$2:$B$35)-ROW('DM_TinhThanh'!$B$2)+1/ISNUMBER(SEARCH(SUBSTITUTE(UPPER($Q417)," ",""),'DM_TinhThanh'!$C$2:$C$35)),1)),"Không tìm thấy"))</f>
        <v/>
      </c>
      <c r="Y417" s="5">
        <f>IF($R417="","",IFERROR(INDEX('DM_XaPhuong'!$B$2:$B$169,AGGREGATE(15,6,ROW('DM_XaPhuong'!$B$2:$B$169)-ROW('DM_XaPhuong'!$B$2)+1/ISNUMBER(SEARCH(SUBSTITUTE(UPPER($R417)," ",""),'DM_XaPhuong'!$C$2:$C$169)),1)),"Không tìm thấy"))</f>
        <v/>
      </c>
      <c r="AB417" s="5">
        <f>IF($T417="","",IFERROR(INDEX('DM_NgheNghiep'!$B$2:$B$11,AGGREGATE(15,6,ROW('DM_NgheNghiep'!$B$2:$B$11)-ROW('DM_NgheNghiep'!$B$2)+1/ISNUMBER(SEARCH(SUBSTITUTE(UPPER($T417)," ",""),'DM_NgheNghiep'!$C$2:$C$11)),1)),"Không tìm thấy"))</f>
        <v/>
      </c>
      <c r="AD417" s="5">
        <f>IF($U417="","",IFERROR(INDEX('DM_NoiCongTac'!$B$2:$B$11,AGGREGATE(15,6,ROW('DM_NoiCongTac'!$B$2:$B$11)-ROW('DM_NoiCongTac'!$B$2)+1/ISNUMBER(SEARCH(SUBSTITUTE(UPPER($U417)," ",""),'DM_NoiCongTac'!$C$2:$C$11)),1)),"Không tìm thấy"))</f>
        <v/>
      </c>
      <c r="AF417" s="5">
        <f>IF($V417="","",IFERROR(INDEX('DM_XaPhuong'!$B$2:$B$169,AGGREGATE(15,6,ROW('DM_XaPhuong'!$B$2:$B$169)-ROW('DM_XaPhuong'!$B$2)+1/ISNUMBER(SEARCH(SUBSTITUTE(UPPER($V417)," ",""),'DM_XaPhuong'!$C$2:$C$169)),1)),"Không tìm thấy"))</f>
        <v/>
      </c>
    </row>
    <row r="418">
      <c r="C418" s="5">
        <f>IF($B418="","",IFERROR(INDEX('DM_DoiTuong'!$B$2:$B$19,AGGREGATE(15,6,ROW('DM_DoiTuong'!$B$2:$B$19)-ROW('DM_DoiTuong'!$B$2)+1/ISNUMBER(SEARCH(SUBSTITUTE(UPPER($B418)," ",""),'DM_DoiTuong'!$C$2:$C$19)),1)),"Không tìm thấy"))</f>
        <v/>
      </c>
      <c r="E418" s="5">
        <f>IF($C418="","",IFERROR(INDEX('DM_DiaDiemKham'!$B$2:$B$6,AGGREGATE(15,6,ROW('DM_DiaDiemKham'!$B$2:$B$6)-ROW('DM_DiaDiemKham'!$B$2)+1/ISNUMBER(SEARCH(SUBSTITUTE(UPPER($C418)," ",""),'DM_DiaDiemKham'!$C$2:$C$6)),1)),"Không tìm thấy"))</f>
        <v/>
      </c>
      <c r="G418" s="5">
        <f>IF($D418="","",IFERROR(INDEX('DM_HinhThucChiTra'!$B$2:$B$5,AGGREGATE(15,6,ROW('DM_HinhThucChiTra'!$B$2:$B$5)-ROW('DM_HinhThucChiTra'!$B$2)+1/ISNUMBER(SEARCH(SUBSTITUTE(UPPER($D418)," ",""),'DM_HinhThucChiTra'!$C$2:$C$5)),1)),"Không tìm thấy"))</f>
        <v/>
      </c>
      <c r="I418" s="5">
        <f>IF($E418="","",IFERROR(INDEX('DM_HinhThucKham'!$B$2:$B$3,AGGREGATE(15,6,ROW('DM_HinhThucKham'!$B$2:$B$3)-ROW('DM_HinhThucKham'!$B$2)+1/ISNUMBER(SEARCH(SUBSTITUTE(UPPER($E418)," ",""),'DM_HinhThucKham'!$C$2:$C$3)),1)),"Không tìm thấy"))</f>
        <v/>
      </c>
      <c r="P418" s="5">
        <f>IF($K418="","",IFERROR(INDEX('DM_DanToc'!$B$2:$B$78,AGGREGATE(15,6,ROW('DM_DanToc'!$B$2:$B$78)-ROW('DM_DanToc'!$B$2)+1/ISNUMBER(SEARCH(SUBSTITUTE(UPPER($K418)," ",""),'DM_DanToc'!$C$2:$C$78)),1)),"Không tìm thấy"))</f>
        <v/>
      </c>
      <c r="W418" s="5">
        <f>IF($Q418="","",IFERROR(INDEX('DM_TinhThanh'!$B$2:$B$35,AGGREGATE(15,6,ROW('DM_TinhThanh'!$B$2:$B$35)-ROW('DM_TinhThanh'!$B$2)+1/ISNUMBER(SEARCH(SUBSTITUTE(UPPER($Q418)," ",""),'DM_TinhThanh'!$C$2:$C$35)),1)),"Không tìm thấy"))</f>
        <v/>
      </c>
      <c r="Y418" s="5">
        <f>IF($R418="","",IFERROR(INDEX('DM_XaPhuong'!$B$2:$B$169,AGGREGATE(15,6,ROW('DM_XaPhuong'!$B$2:$B$169)-ROW('DM_XaPhuong'!$B$2)+1/ISNUMBER(SEARCH(SUBSTITUTE(UPPER($R418)," ",""),'DM_XaPhuong'!$C$2:$C$169)),1)),"Không tìm thấy"))</f>
        <v/>
      </c>
      <c r="AB418" s="5">
        <f>IF($T418="","",IFERROR(INDEX('DM_NgheNghiep'!$B$2:$B$11,AGGREGATE(15,6,ROW('DM_NgheNghiep'!$B$2:$B$11)-ROW('DM_NgheNghiep'!$B$2)+1/ISNUMBER(SEARCH(SUBSTITUTE(UPPER($T418)," ",""),'DM_NgheNghiep'!$C$2:$C$11)),1)),"Không tìm thấy"))</f>
        <v/>
      </c>
      <c r="AD418" s="5">
        <f>IF($U418="","",IFERROR(INDEX('DM_NoiCongTac'!$B$2:$B$11,AGGREGATE(15,6,ROW('DM_NoiCongTac'!$B$2:$B$11)-ROW('DM_NoiCongTac'!$B$2)+1/ISNUMBER(SEARCH(SUBSTITUTE(UPPER($U418)," ",""),'DM_NoiCongTac'!$C$2:$C$11)),1)),"Không tìm thấy"))</f>
        <v/>
      </c>
      <c r="AF418" s="5">
        <f>IF($V418="","",IFERROR(INDEX('DM_XaPhuong'!$B$2:$B$169,AGGREGATE(15,6,ROW('DM_XaPhuong'!$B$2:$B$169)-ROW('DM_XaPhuong'!$B$2)+1/ISNUMBER(SEARCH(SUBSTITUTE(UPPER($V418)," ",""),'DM_XaPhuong'!$C$2:$C$169)),1)),"Không tìm thấy"))</f>
        <v/>
      </c>
    </row>
    <row r="419">
      <c r="C419" s="5">
        <f>IF($B419="","",IFERROR(INDEX('DM_DoiTuong'!$B$2:$B$19,AGGREGATE(15,6,ROW('DM_DoiTuong'!$B$2:$B$19)-ROW('DM_DoiTuong'!$B$2)+1/ISNUMBER(SEARCH(SUBSTITUTE(UPPER($B419)," ",""),'DM_DoiTuong'!$C$2:$C$19)),1)),"Không tìm thấy"))</f>
        <v/>
      </c>
      <c r="E419" s="5">
        <f>IF($C419="","",IFERROR(INDEX('DM_DiaDiemKham'!$B$2:$B$6,AGGREGATE(15,6,ROW('DM_DiaDiemKham'!$B$2:$B$6)-ROW('DM_DiaDiemKham'!$B$2)+1/ISNUMBER(SEARCH(SUBSTITUTE(UPPER($C419)," ",""),'DM_DiaDiemKham'!$C$2:$C$6)),1)),"Không tìm thấy"))</f>
        <v/>
      </c>
      <c r="G419" s="5">
        <f>IF($D419="","",IFERROR(INDEX('DM_HinhThucChiTra'!$B$2:$B$5,AGGREGATE(15,6,ROW('DM_HinhThucChiTra'!$B$2:$B$5)-ROW('DM_HinhThucChiTra'!$B$2)+1/ISNUMBER(SEARCH(SUBSTITUTE(UPPER($D419)," ",""),'DM_HinhThucChiTra'!$C$2:$C$5)),1)),"Không tìm thấy"))</f>
        <v/>
      </c>
      <c r="I419" s="5">
        <f>IF($E419="","",IFERROR(INDEX('DM_HinhThucKham'!$B$2:$B$3,AGGREGATE(15,6,ROW('DM_HinhThucKham'!$B$2:$B$3)-ROW('DM_HinhThucKham'!$B$2)+1/ISNUMBER(SEARCH(SUBSTITUTE(UPPER($E419)," ",""),'DM_HinhThucKham'!$C$2:$C$3)),1)),"Không tìm thấy"))</f>
        <v/>
      </c>
      <c r="P419" s="5">
        <f>IF($K419="","",IFERROR(INDEX('DM_DanToc'!$B$2:$B$78,AGGREGATE(15,6,ROW('DM_DanToc'!$B$2:$B$78)-ROW('DM_DanToc'!$B$2)+1/ISNUMBER(SEARCH(SUBSTITUTE(UPPER($K419)," ",""),'DM_DanToc'!$C$2:$C$78)),1)),"Không tìm thấy"))</f>
        <v/>
      </c>
      <c r="W419" s="5">
        <f>IF($Q419="","",IFERROR(INDEX('DM_TinhThanh'!$B$2:$B$35,AGGREGATE(15,6,ROW('DM_TinhThanh'!$B$2:$B$35)-ROW('DM_TinhThanh'!$B$2)+1/ISNUMBER(SEARCH(SUBSTITUTE(UPPER($Q419)," ",""),'DM_TinhThanh'!$C$2:$C$35)),1)),"Không tìm thấy"))</f>
        <v/>
      </c>
      <c r="Y419" s="5">
        <f>IF($R419="","",IFERROR(INDEX('DM_XaPhuong'!$B$2:$B$169,AGGREGATE(15,6,ROW('DM_XaPhuong'!$B$2:$B$169)-ROW('DM_XaPhuong'!$B$2)+1/ISNUMBER(SEARCH(SUBSTITUTE(UPPER($R419)," ",""),'DM_XaPhuong'!$C$2:$C$169)),1)),"Không tìm thấy"))</f>
        <v/>
      </c>
      <c r="AB419" s="5">
        <f>IF($T419="","",IFERROR(INDEX('DM_NgheNghiep'!$B$2:$B$11,AGGREGATE(15,6,ROW('DM_NgheNghiep'!$B$2:$B$11)-ROW('DM_NgheNghiep'!$B$2)+1/ISNUMBER(SEARCH(SUBSTITUTE(UPPER($T419)," ",""),'DM_NgheNghiep'!$C$2:$C$11)),1)),"Không tìm thấy"))</f>
        <v/>
      </c>
      <c r="AD419" s="5">
        <f>IF($U419="","",IFERROR(INDEX('DM_NoiCongTac'!$B$2:$B$11,AGGREGATE(15,6,ROW('DM_NoiCongTac'!$B$2:$B$11)-ROW('DM_NoiCongTac'!$B$2)+1/ISNUMBER(SEARCH(SUBSTITUTE(UPPER($U419)," ",""),'DM_NoiCongTac'!$C$2:$C$11)),1)),"Không tìm thấy"))</f>
        <v/>
      </c>
      <c r="AF419" s="5">
        <f>IF($V419="","",IFERROR(INDEX('DM_XaPhuong'!$B$2:$B$169,AGGREGATE(15,6,ROW('DM_XaPhuong'!$B$2:$B$169)-ROW('DM_XaPhuong'!$B$2)+1/ISNUMBER(SEARCH(SUBSTITUTE(UPPER($V419)," ",""),'DM_XaPhuong'!$C$2:$C$169)),1)),"Không tìm thấy"))</f>
        <v/>
      </c>
    </row>
    <row r="420">
      <c r="C420" s="5">
        <f>IF($B420="","",IFERROR(INDEX('DM_DoiTuong'!$B$2:$B$19,AGGREGATE(15,6,ROW('DM_DoiTuong'!$B$2:$B$19)-ROW('DM_DoiTuong'!$B$2)+1/ISNUMBER(SEARCH(SUBSTITUTE(UPPER($B420)," ",""),'DM_DoiTuong'!$C$2:$C$19)),1)),"Không tìm thấy"))</f>
        <v/>
      </c>
      <c r="E420" s="5">
        <f>IF($C420="","",IFERROR(INDEX('DM_DiaDiemKham'!$B$2:$B$6,AGGREGATE(15,6,ROW('DM_DiaDiemKham'!$B$2:$B$6)-ROW('DM_DiaDiemKham'!$B$2)+1/ISNUMBER(SEARCH(SUBSTITUTE(UPPER($C420)," ",""),'DM_DiaDiemKham'!$C$2:$C$6)),1)),"Không tìm thấy"))</f>
        <v/>
      </c>
      <c r="G420" s="5">
        <f>IF($D420="","",IFERROR(INDEX('DM_HinhThucChiTra'!$B$2:$B$5,AGGREGATE(15,6,ROW('DM_HinhThucChiTra'!$B$2:$B$5)-ROW('DM_HinhThucChiTra'!$B$2)+1/ISNUMBER(SEARCH(SUBSTITUTE(UPPER($D420)," ",""),'DM_HinhThucChiTra'!$C$2:$C$5)),1)),"Không tìm thấy"))</f>
        <v/>
      </c>
      <c r="I420" s="5">
        <f>IF($E420="","",IFERROR(INDEX('DM_HinhThucKham'!$B$2:$B$3,AGGREGATE(15,6,ROW('DM_HinhThucKham'!$B$2:$B$3)-ROW('DM_HinhThucKham'!$B$2)+1/ISNUMBER(SEARCH(SUBSTITUTE(UPPER($E420)," ",""),'DM_HinhThucKham'!$C$2:$C$3)),1)),"Không tìm thấy"))</f>
        <v/>
      </c>
      <c r="P420" s="5">
        <f>IF($K420="","",IFERROR(INDEX('DM_DanToc'!$B$2:$B$78,AGGREGATE(15,6,ROW('DM_DanToc'!$B$2:$B$78)-ROW('DM_DanToc'!$B$2)+1/ISNUMBER(SEARCH(SUBSTITUTE(UPPER($K420)," ",""),'DM_DanToc'!$C$2:$C$78)),1)),"Không tìm thấy"))</f>
        <v/>
      </c>
      <c r="W420" s="5">
        <f>IF($Q420="","",IFERROR(INDEX('DM_TinhThanh'!$B$2:$B$35,AGGREGATE(15,6,ROW('DM_TinhThanh'!$B$2:$B$35)-ROW('DM_TinhThanh'!$B$2)+1/ISNUMBER(SEARCH(SUBSTITUTE(UPPER($Q420)," ",""),'DM_TinhThanh'!$C$2:$C$35)),1)),"Không tìm thấy"))</f>
        <v/>
      </c>
      <c r="Y420" s="5">
        <f>IF($R420="","",IFERROR(INDEX('DM_XaPhuong'!$B$2:$B$169,AGGREGATE(15,6,ROW('DM_XaPhuong'!$B$2:$B$169)-ROW('DM_XaPhuong'!$B$2)+1/ISNUMBER(SEARCH(SUBSTITUTE(UPPER($R420)," ",""),'DM_XaPhuong'!$C$2:$C$169)),1)),"Không tìm thấy"))</f>
        <v/>
      </c>
      <c r="AB420" s="5">
        <f>IF($T420="","",IFERROR(INDEX('DM_NgheNghiep'!$B$2:$B$11,AGGREGATE(15,6,ROW('DM_NgheNghiep'!$B$2:$B$11)-ROW('DM_NgheNghiep'!$B$2)+1/ISNUMBER(SEARCH(SUBSTITUTE(UPPER($T420)," ",""),'DM_NgheNghiep'!$C$2:$C$11)),1)),"Không tìm thấy"))</f>
        <v/>
      </c>
      <c r="AD420" s="5">
        <f>IF($U420="","",IFERROR(INDEX('DM_NoiCongTac'!$B$2:$B$11,AGGREGATE(15,6,ROW('DM_NoiCongTac'!$B$2:$B$11)-ROW('DM_NoiCongTac'!$B$2)+1/ISNUMBER(SEARCH(SUBSTITUTE(UPPER($U420)," ",""),'DM_NoiCongTac'!$C$2:$C$11)),1)),"Không tìm thấy"))</f>
        <v/>
      </c>
      <c r="AF420" s="5">
        <f>IF($V420="","",IFERROR(INDEX('DM_XaPhuong'!$B$2:$B$169,AGGREGATE(15,6,ROW('DM_XaPhuong'!$B$2:$B$169)-ROW('DM_XaPhuong'!$B$2)+1/ISNUMBER(SEARCH(SUBSTITUTE(UPPER($V420)," ",""),'DM_XaPhuong'!$C$2:$C$169)),1)),"Không tìm thấy"))</f>
        <v/>
      </c>
    </row>
    <row r="421">
      <c r="C421" s="5">
        <f>IF($B421="","",IFERROR(INDEX('DM_DoiTuong'!$B$2:$B$19,AGGREGATE(15,6,ROW('DM_DoiTuong'!$B$2:$B$19)-ROW('DM_DoiTuong'!$B$2)+1/ISNUMBER(SEARCH(SUBSTITUTE(UPPER($B421)," ",""),'DM_DoiTuong'!$C$2:$C$19)),1)),"Không tìm thấy"))</f>
        <v/>
      </c>
      <c r="E421" s="5">
        <f>IF($C421="","",IFERROR(INDEX('DM_DiaDiemKham'!$B$2:$B$6,AGGREGATE(15,6,ROW('DM_DiaDiemKham'!$B$2:$B$6)-ROW('DM_DiaDiemKham'!$B$2)+1/ISNUMBER(SEARCH(SUBSTITUTE(UPPER($C421)," ",""),'DM_DiaDiemKham'!$C$2:$C$6)),1)),"Không tìm thấy"))</f>
        <v/>
      </c>
      <c r="G421" s="5">
        <f>IF($D421="","",IFERROR(INDEX('DM_HinhThucChiTra'!$B$2:$B$5,AGGREGATE(15,6,ROW('DM_HinhThucChiTra'!$B$2:$B$5)-ROW('DM_HinhThucChiTra'!$B$2)+1/ISNUMBER(SEARCH(SUBSTITUTE(UPPER($D421)," ",""),'DM_HinhThucChiTra'!$C$2:$C$5)),1)),"Không tìm thấy"))</f>
        <v/>
      </c>
      <c r="I421" s="5">
        <f>IF($E421="","",IFERROR(INDEX('DM_HinhThucKham'!$B$2:$B$3,AGGREGATE(15,6,ROW('DM_HinhThucKham'!$B$2:$B$3)-ROW('DM_HinhThucKham'!$B$2)+1/ISNUMBER(SEARCH(SUBSTITUTE(UPPER($E421)," ",""),'DM_HinhThucKham'!$C$2:$C$3)),1)),"Không tìm thấy"))</f>
        <v/>
      </c>
      <c r="P421" s="5">
        <f>IF($K421="","",IFERROR(INDEX('DM_DanToc'!$B$2:$B$78,AGGREGATE(15,6,ROW('DM_DanToc'!$B$2:$B$78)-ROW('DM_DanToc'!$B$2)+1/ISNUMBER(SEARCH(SUBSTITUTE(UPPER($K421)," ",""),'DM_DanToc'!$C$2:$C$78)),1)),"Không tìm thấy"))</f>
        <v/>
      </c>
      <c r="W421" s="5">
        <f>IF($Q421="","",IFERROR(INDEX('DM_TinhThanh'!$B$2:$B$35,AGGREGATE(15,6,ROW('DM_TinhThanh'!$B$2:$B$35)-ROW('DM_TinhThanh'!$B$2)+1/ISNUMBER(SEARCH(SUBSTITUTE(UPPER($Q421)," ",""),'DM_TinhThanh'!$C$2:$C$35)),1)),"Không tìm thấy"))</f>
        <v/>
      </c>
      <c r="Y421" s="5">
        <f>IF($R421="","",IFERROR(INDEX('DM_XaPhuong'!$B$2:$B$169,AGGREGATE(15,6,ROW('DM_XaPhuong'!$B$2:$B$169)-ROW('DM_XaPhuong'!$B$2)+1/ISNUMBER(SEARCH(SUBSTITUTE(UPPER($R421)," ",""),'DM_XaPhuong'!$C$2:$C$169)),1)),"Không tìm thấy"))</f>
        <v/>
      </c>
      <c r="AB421" s="5">
        <f>IF($T421="","",IFERROR(INDEX('DM_NgheNghiep'!$B$2:$B$11,AGGREGATE(15,6,ROW('DM_NgheNghiep'!$B$2:$B$11)-ROW('DM_NgheNghiep'!$B$2)+1/ISNUMBER(SEARCH(SUBSTITUTE(UPPER($T421)," ",""),'DM_NgheNghiep'!$C$2:$C$11)),1)),"Không tìm thấy"))</f>
        <v/>
      </c>
      <c r="AD421" s="5">
        <f>IF($U421="","",IFERROR(INDEX('DM_NoiCongTac'!$B$2:$B$11,AGGREGATE(15,6,ROW('DM_NoiCongTac'!$B$2:$B$11)-ROW('DM_NoiCongTac'!$B$2)+1/ISNUMBER(SEARCH(SUBSTITUTE(UPPER($U421)," ",""),'DM_NoiCongTac'!$C$2:$C$11)),1)),"Không tìm thấy"))</f>
        <v/>
      </c>
      <c r="AF421" s="5">
        <f>IF($V421="","",IFERROR(INDEX('DM_XaPhuong'!$B$2:$B$169,AGGREGATE(15,6,ROW('DM_XaPhuong'!$B$2:$B$169)-ROW('DM_XaPhuong'!$B$2)+1/ISNUMBER(SEARCH(SUBSTITUTE(UPPER($V421)," ",""),'DM_XaPhuong'!$C$2:$C$169)),1)),"Không tìm thấy"))</f>
        <v/>
      </c>
    </row>
    <row r="422">
      <c r="C422" s="5">
        <f>IF($B422="","",IFERROR(INDEX('DM_DoiTuong'!$B$2:$B$19,AGGREGATE(15,6,ROW('DM_DoiTuong'!$B$2:$B$19)-ROW('DM_DoiTuong'!$B$2)+1/ISNUMBER(SEARCH(SUBSTITUTE(UPPER($B422)," ",""),'DM_DoiTuong'!$C$2:$C$19)),1)),"Không tìm thấy"))</f>
        <v/>
      </c>
      <c r="E422" s="5">
        <f>IF($C422="","",IFERROR(INDEX('DM_DiaDiemKham'!$B$2:$B$6,AGGREGATE(15,6,ROW('DM_DiaDiemKham'!$B$2:$B$6)-ROW('DM_DiaDiemKham'!$B$2)+1/ISNUMBER(SEARCH(SUBSTITUTE(UPPER($C422)," ",""),'DM_DiaDiemKham'!$C$2:$C$6)),1)),"Không tìm thấy"))</f>
        <v/>
      </c>
      <c r="G422" s="5">
        <f>IF($D422="","",IFERROR(INDEX('DM_HinhThucChiTra'!$B$2:$B$5,AGGREGATE(15,6,ROW('DM_HinhThucChiTra'!$B$2:$B$5)-ROW('DM_HinhThucChiTra'!$B$2)+1/ISNUMBER(SEARCH(SUBSTITUTE(UPPER($D422)," ",""),'DM_HinhThucChiTra'!$C$2:$C$5)),1)),"Không tìm thấy"))</f>
        <v/>
      </c>
      <c r="I422" s="5">
        <f>IF($E422="","",IFERROR(INDEX('DM_HinhThucKham'!$B$2:$B$3,AGGREGATE(15,6,ROW('DM_HinhThucKham'!$B$2:$B$3)-ROW('DM_HinhThucKham'!$B$2)+1/ISNUMBER(SEARCH(SUBSTITUTE(UPPER($E422)," ",""),'DM_HinhThucKham'!$C$2:$C$3)),1)),"Không tìm thấy"))</f>
        <v/>
      </c>
      <c r="P422" s="5">
        <f>IF($K422="","",IFERROR(INDEX('DM_DanToc'!$B$2:$B$78,AGGREGATE(15,6,ROW('DM_DanToc'!$B$2:$B$78)-ROW('DM_DanToc'!$B$2)+1/ISNUMBER(SEARCH(SUBSTITUTE(UPPER($K422)," ",""),'DM_DanToc'!$C$2:$C$78)),1)),"Không tìm thấy"))</f>
        <v/>
      </c>
      <c r="W422" s="5">
        <f>IF($Q422="","",IFERROR(INDEX('DM_TinhThanh'!$B$2:$B$35,AGGREGATE(15,6,ROW('DM_TinhThanh'!$B$2:$B$35)-ROW('DM_TinhThanh'!$B$2)+1/ISNUMBER(SEARCH(SUBSTITUTE(UPPER($Q422)," ",""),'DM_TinhThanh'!$C$2:$C$35)),1)),"Không tìm thấy"))</f>
        <v/>
      </c>
      <c r="Y422" s="5">
        <f>IF($R422="","",IFERROR(INDEX('DM_XaPhuong'!$B$2:$B$169,AGGREGATE(15,6,ROW('DM_XaPhuong'!$B$2:$B$169)-ROW('DM_XaPhuong'!$B$2)+1/ISNUMBER(SEARCH(SUBSTITUTE(UPPER($R422)," ",""),'DM_XaPhuong'!$C$2:$C$169)),1)),"Không tìm thấy"))</f>
        <v/>
      </c>
      <c r="AB422" s="5">
        <f>IF($T422="","",IFERROR(INDEX('DM_NgheNghiep'!$B$2:$B$11,AGGREGATE(15,6,ROW('DM_NgheNghiep'!$B$2:$B$11)-ROW('DM_NgheNghiep'!$B$2)+1/ISNUMBER(SEARCH(SUBSTITUTE(UPPER($T422)," ",""),'DM_NgheNghiep'!$C$2:$C$11)),1)),"Không tìm thấy"))</f>
        <v/>
      </c>
      <c r="AD422" s="5">
        <f>IF($U422="","",IFERROR(INDEX('DM_NoiCongTac'!$B$2:$B$11,AGGREGATE(15,6,ROW('DM_NoiCongTac'!$B$2:$B$11)-ROW('DM_NoiCongTac'!$B$2)+1/ISNUMBER(SEARCH(SUBSTITUTE(UPPER($U422)," ",""),'DM_NoiCongTac'!$C$2:$C$11)),1)),"Không tìm thấy"))</f>
        <v/>
      </c>
      <c r="AF422" s="5">
        <f>IF($V422="","",IFERROR(INDEX('DM_XaPhuong'!$B$2:$B$169,AGGREGATE(15,6,ROW('DM_XaPhuong'!$B$2:$B$169)-ROW('DM_XaPhuong'!$B$2)+1/ISNUMBER(SEARCH(SUBSTITUTE(UPPER($V422)," ",""),'DM_XaPhuong'!$C$2:$C$169)),1)),"Không tìm thấy"))</f>
        <v/>
      </c>
    </row>
    <row r="423">
      <c r="C423" s="5">
        <f>IF($B423="","",IFERROR(INDEX('DM_DoiTuong'!$B$2:$B$19,AGGREGATE(15,6,ROW('DM_DoiTuong'!$B$2:$B$19)-ROW('DM_DoiTuong'!$B$2)+1/ISNUMBER(SEARCH(SUBSTITUTE(UPPER($B423)," ",""),'DM_DoiTuong'!$C$2:$C$19)),1)),"Không tìm thấy"))</f>
        <v/>
      </c>
      <c r="E423" s="5">
        <f>IF($C423="","",IFERROR(INDEX('DM_DiaDiemKham'!$B$2:$B$6,AGGREGATE(15,6,ROW('DM_DiaDiemKham'!$B$2:$B$6)-ROW('DM_DiaDiemKham'!$B$2)+1/ISNUMBER(SEARCH(SUBSTITUTE(UPPER($C423)," ",""),'DM_DiaDiemKham'!$C$2:$C$6)),1)),"Không tìm thấy"))</f>
        <v/>
      </c>
      <c r="G423" s="5">
        <f>IF($D423="","",IFERROR(INDEX('DM_HinhThucChiTra'!$B$2:$B$5,AGGREGATE(15,6,ROW('DM_HinhThucChiTra'!$B$2:$B$5)-ROW('DM_HinhThucChiTra'!$B$2)+1/ISNUMBER(SEARCH(SUBSTITUTE(UPPER($D423)," ",""),'DM_HinhThucChiTra'!$C$2:$C$5)),1)),"Không tìm thấy"))</f>
        <v/>
      </c>
      <c r="I423" s="5">
        <f>IF($E423="","",IFERROR(INDEX('DM_HinhThucKham'!$B$2:$B$3,AGGREGATE(15,6,ROW('DM_HinhThucKham'!$B$2:$B$3)-ROW('DM_HinhThucKham'!$B$2)+1/ISNUMBER(SEARCH(SUBSTITUTE(UPPER($E423)," ",""),'DM_HinhThucKham'!$C$2:$C$3)),1)),"Không tìm thấy"))</f>
        <v/>
      </c>
      <c r="P423" s="5">
        <f>IF($K423="","",IFERROR(INDEX('DM_DanToc'!$B$2:$B$78,AGGREGATE(15,6,ROW('DM_DanToc'!$B$2:$B$78)-ROW('DM_DanToc'!$B$2)+1/ISNUMBER(SEARCH(SUBSTITUTE(UPPER($K423)," ",""),'DM_DanToc'!$C$2:$C$78)),1)),"Không tìm thấy"))</f>
        <v/>
      </c>
      <c r="W423" s="5">
        <f>IF($Q423="","",IFERROR(INDEX('DM_TinhThanh'!$B$2:$B$35,AGGREGATE(15,6,ROW('DM_TinhThanh'!$B$2:$B$35)-ROW('DM_TinhThanh'!$B$2)+1/ISNUMBER(SEARCH(SUBSTITUTE(UPPER($Q423)," ",""),'DM_TinhThanh'!$C$2:$C$35)),1)),"Không tìm thấy"))</f>
        <v/>
      </c>
      <c r="Y423" s="5">
        <f>IF($R423="","",IFERROR(INDEX('DM_XaPhuong'!$B$2:$B$169,AGGREGATE(15,6,ROW('DM_XaPhuong'!$B$2:$B$169)-ROW('DM_XaPhuong'!$B$2)+1/ISNUMBER(SEARCH(SUBSTITUTE(UPPER($R423)," ",""),'DM_XaPhuong'!$C$2:$C$169)),1)),"Không tìm thấy"))</f>
        <v/>
      </c>
      <c r="AB423" s="5">
        <f>IF($T423="","",IFERROR(INDEX('DM_NgheNghiep'!$B$2:$B$11,AGGREGATE(15,6,ROW('DM_NgheNghiep'!$B$2:$B$11)-ROW('DM_NgheNghiep'!$B$2)+1/ISNUMBER(SEARCH(SUBSTITUTE(UPPER($T423)," ",""),'DM_NgheNghiep'!$C$2:$C$11)),1)),"Không tìm thấy"))</f>
        <v/>
      </c>
      <c r="AD423" s="5">
        <f>IF($U423="","",IFERROR(INDEX('DM_NoiCongTac'!$B$2:$B$11,AGGREGATE(15,6,ROW('DM_NoiCongTac'!$B$2:$B$11)-ROW('DM_NoiCongTac'!$B$2)+1/ISNUMBER(SEARCH(SUBSTITUTE(UPPER($U423)," ",""),'DM_NoiCongTac'!$C$2:$C$11)),1)),"Không tìm thấy"))</f>
        <v/>
      </c>
      <c r="AF423" s="5">
        <f>IF($V423="","",IFERROR(INDEX('DM_XaPhuong'!$B$2:$B$169,AGGREGATE(15,6,ROW('DM_XaPhuong'!$B$2:$B$169)-ROW('DM_XaPhuong'!$B$2)+1/ISNUMBER(SEARCH(SUBSTITUTE(UPPER($V423)," ",""),'DM_XaPhuong'!$C$2:$C$169)),1)),"Không tìm thấy"))</f>
        <v/>
      </c>
    </row>
    <row r="424">
      <c r="C424" s="5">
        <f>IF($B424="","",IFERROR(INDEX('DM_DoiTuong'!$B$2:$B$19,AGGREGATE(15,6,ROW('DM_DoiTuong'!$B$2:$B$19)-ROW('DM_DoiTuong'!$B$2)+1/ISNUMBER(SEARCH(SUBSTITUTE(UPPER($B424)," ",""),'DM_DoiTuong'!$C$2:$C$19)),1)),"Không tìm thấy"))</f>
        <v/>
      </c>
      <c r="E424" s="5">
        <f>IF($C424="","",IFERROR(INDEX('DM_DiaDiemKham'!$B$2:$B$6,AGGREGATE(15,6,ROW('DM_DiaDiemKham'!$B$2:$B$6)-ROW('DM_DiaDiemKham'!$B$2)+1/ISNUMBER(SEARCH(SUBSTITUTE(UPPER($C424)," ",""),'DM_DiaDiemKham'!$C$2:$C$6)),1)),"Không tìm thấy"))</f>
        <v/>
      </c>
      <c r="G424" s="5">
        <f>IF($D424="","",IFERROR(INDEX('DM_HinhThucChiTra'!$B$2:$B$5,AGGREGATE(15,6,ROW('DM_HinhThucChiTra'!$B$2:$B$5)-ROW('DM_HinhThucChiTra'!$B$2)+1/ISNUMBER(SEARCH(SUBSTITUTE(UPPER($D424)," ",""),'DM_HinhThucChiTra'!$C$2:$C$5)),1)),"Không tìm thấy"))</f>
        <v/>
      </c>
      <c r="I424" s="5">
        <f>IF($E424="","",IFERROR(INDEX('DM_HinhThucKham'!$B$2:$B$3,AGGREGATE(15,6,ROW('DM_HinhThucKham'!$B$2:$B$3)-ROW('DM_HinhThucKham'!$B$2)+1/ISNUMBER(SEARCH(SUBSTITUTE(UPPER($E424)," ",""),'DM_HinhThucKham'!$C$2:$C$3)),1)),"Không tìm thấy"))</f>
        <v/>
      </c>
      <c r="P424" s="5">
        <f>IF($K424="","",IFERROR(INDEX('DM_DanToc'!$B$2:$B$78,AGGREGATE(15,6,ROW('DM_DanToc'!$B$2:$B$78)-ROW('DM_DanToc'!$B$2)+1/ISNUMBER(SEARCH(SUBSTITUTE(UPPER($K424)," ",""),'DM_DanToc'!$C$2:$C$78)),1)),"Không tìm thấy"))</f>
        <v/>
      </c>
      <c r="W424" s="5">
        <f>IF($Q424="","",IFERROR(INDEX('DM_TinhThanh'!$B$2:$B$35,AGGREGATE(15,6,ROW('DM_TinhThanh'!$B$2:$B$35)-ROW('DM_TinhThanh'!$B$2)+1/ISNUMBER(SEARCH(SUBSTITUTE(UPPER($Q424)," ",""),'DM_TinhThanh'!$C$2:$C$35)),1)),"Không tìm thấy"))</f>
        <v/>
      </c>
      <c r="Y424" s="5">
        <f>IF($R424="","",IFERROR(INDEX('DM_XaPhuong'!$B$2:$B$169,AGGREGATE(15,6,ROW('DM_XaPhuong'!$B$2:$B$169)-ROW('DM_XaPhuong'!$B$2)+1/ISNUMBER(SEARCH(SUBSTITUTE(UPPER($R424)," ",""),'DM_XaPhuong'!$C$2:$C$169)),1)),"Không tìm thấy"))</f>
        <v/>
      </c>
      <c r="AB424" s="5">
        <f>IF($T424="","",IFERROR(INDEX('DM_NgheNghiep'!$B$2:$B$11,AGGREGATE(15,6,ROW('DM_NgheNghiep'!$B$2:$B$11)-ROW('DM_NgheNghiep'!$B$2)+1/ISNUMBER(SEARCH(SUBSTITUTE(UPPER($T424)," ",""),'DM_NgheNghiep'!$C$2:$C$11)),1)),"Không tìm thấy"))</f>
        <v/>
      </c>
      <c r="AD424" s="5">
        <f>IF($U424="","",IFERROR(INDEX('DM_NoiCongTac'!$B$2:$B$11,AGGREGATE(15,6,ROW('DM_NoiCongTac'!$B$2:$B$11)-ROW('DM_NoiCongTac'!$B$2)+1/ISNUMBER(SEARCH(SUBSTITUTE(UPPER($U424)," ",""),'DM_NoiCongTac'!$C$2:$C$11)),1)),"Không tìm thấy"))</f>
        <v/>
      </c>
      <c r="AF424" s="5">
        <f>IF($V424="","",IFERROR(INDEX('DM_XaPhuong'!$B$2:$B$169,AGGREGATE(15,6,ROW('DM_XaPhuong'!$B$2:$B$169)-ROW('DM_XaPhuong'!$B$2)+1/ISNUMBER(SEARCH(SUBSTITUTE(UPPER($V424)," ",""),'DM_XaPhuong'!$C$2:$C$169)),1)),"Không tìm thấy"))</f>
        <v/>
      </c>
    </row>
    <row r="425">
      <c r="C425" s="5">
        <f>IF($B425="","",IFERROR(INDEX('DM_DoiTuong'!$B$2:$B$19,AGGREGATE(15,6,ROW('DM_DoiTuong'!$B$2:$B$19)-ROW('DM_DoiTuong'!$B$2)+1/ISNUMBER(SEARCH(SUBSTITUTE(UPPER($B425)," ",""),'DM_DoiTuong'!$C$2:$C$19)),1)),"Không tìm thấy"))</f>
        <v/>
      </c>
      <c r="E425" s="5">
        <f>IF($C425="","",IFERROR(INDEX('DM_DiaDiemKham'!$B$2:$B$6,AGGREGATE(15,6,ROW('DM_DiaDiemKham'!$B$2:$B$6)-ROW('DM_DiaDiemKham'!$B$2)+1/ISNUMBER(SEARCH(SUBSTITUTE(UPPER($C425)," ",""),'DM_DiaDiemKham'!$C$2:$C$6)),1)),"Không tìm thấy"))</f>
        <v/>
      </c>
      <c r="G425" s="5">
        <f>IF($D425="","",IFERROR(INDEX('DM_HinhThucChiTra'!$B$2:$B$5,AGGREGATE(15,6,ROW('DM_HinhThucChiTra'!$B$2:$B$5)-ROW('DM_HinhThucChiTra'!$B$2)+1/ISNUMBER(SEARCH(SUBSTITUTE(UPPER($D425)," ",""),'DM_HinhThucChiTra'!$C$2:$C$5)),1)),"Không tìm thấy"))</f>
        <v/>
      </c>
      <c r="I425" s="5">
        <f>IF($E425="","",IFERROR(INDEX('DM_HinhThucKham'!$B$2:$B$3,AGGREGATE(15,6,ROW('DM_HinhThucKham'!$B$2:$B$3)-ROW('DM_HinhThucKham'!$B$2)+1/ISNUMBER(SEARCH(SUBSTITUTE(UPPER($E425)," ",""),'DM_HinhThucKham'!$C$2:$C$3)),1)),"Không tìm thấy"))</f>
        <v/>
      </c>
      <c r="P425" s="5">
        <f>IF($K425="","",IFERROR(INDEX('DM_DanToc'!$B$2:$B$78,AGGREGATE(15,6,ROW('DM_DanToc'!$B$2:$B$78)-ROW('DM_DanToc'!$B$2)+1/ISNUMBER(SEARCH(SUBSTITUTE(UPPER($K425)," ",""),'DM_DanToc'!$C$2:$C$78)),1)),"Không tìm thấy"))</f>
        <v/>
      </c>
      <c r="W425" s="5">
        <f>IF($Q425="","",IFERROR(INDEX('DM_TinhThanh'!$B$2:$B$35,AGGREGATE(15,6,ROW('DM_TinhThanh'!$B$2:$B$35)-ROW('DM_TinhThanh'!$B$2)+1/ISNUMBER(SEARCH(SUBSTITUTE(UPPER($Q425)," ",""),'DM_TinhThanh'!$C$2:$C$35)),1)),"Không tìm thấy"))</f>
        <v/>
      </c>
      <c r="Y425" s="5">
        <f>IF($R425="","",IFERROR(INDEX('DM_XaPhuong'!$B$2:$B$169,AGGREGATE(15,6,ROW('DM_XaPhuong'!$B$2:$B$169)-ROW('DM_XaPhuong'!$B$2)+1/ISNUMBER(SEARCH(SUBSTITUTE(UPPER($R425)," ",""),'DM_XaPhuong'!$C$2:$C$169)),1)),"Không tìm thấy"))</f>
        <v/>
      </c>
      <c r="AB425" s="5">
        <f>IF($T425="","",IFERROR(INDEX('DM_NgheNghiep'!$B$2:$B$11,AGGREGATE(15,6,ROW('DM_NgheNghiep'!$B$2:$B$11)-ROW('DM_NgheNghiep'!$B$2)+1/ISNUMBER(SEARCH(SUBSTITUTE(UPPER($T425)," ",""),'DM_NgheNghiep'!$C$2:$C$11)),1)),"Không tìm thấy"))</f>
        <v/>
      </c>
      <c r="AD425" s="5">
        <f>IF($U425="","",IFERROR(INDEX('DM_NoiCongTac'!$B$2:$B$11,AGGREGATE(15,6,ROW('DM_NoiCongTac'!$B$2:$B$11)-ROW('DM_NoiCongTac'!$B$2)+1/ISNUMBER(SEARCH(SUBSTITUTE(UPPER($U425)," ",""),'DM_NoiCongTac'!$C$2:$C$11)),1)),"Không tìm thấy"))</f>
        <v/>
      </c>
      <c r="AF425" s="5">
        <f>IF($V425="","",IFERROR(INDEX('DM_XaPhuong'!$B$2:$B$169,AGGREGATE(15,6,ROW('DM_XaPhuong'!$B$2:$B$169)-ROW('DM_XaPhuong'!$B$2)+1/ISNUMBER(SEARCH(SUBSTITUTE(UPPER($V425)," ",""),'DM_XaPhuong'!$C$2:$C$169)),1)),"Không tìm thấy"))</f>
        <v/>
      </c>
    </row>
    <row r="426">
      <c r="C426" s="5">
        <f>IF($B426="","",IFERROR(INDEX('DM_DoiTuong'!$B$2:$B$19,AGGREGATE(15,6,ROW('DM_DoiTuong'!$B$2:$B$19)-ROW('DM_DoiTuong'!$B$2)+1/ISNUMBER(SEARCH(SUBSTITUTE(UPPER($B426)," ",""),'DM_DoiTuong'!$C$2:$C$19)),1)),"Không tìm thấy"))</f>
        <v/>
      </c>
      <c r="E426" s="5">
        <f>IF($C426="","",IFERROR(INDEX('DM_DiaDiemKham'!$B$2:$B$6,AGGREGATE(15,6,ROW('DM_DiaDiemKham'!$B$2:$B$6)-ROW('DM_DiaDiemKham'!$B$2)+1/ISNUMBER(SEARCH(SUBSTITUTE(UPPER($C426)," ",""),'DM_DiaDiemKham'!$C$2:$C$6)),1)),"Không tìm thấy"))</f>
        <v/>
      </c>
      <c r="G426" s="5">
        <f>IF($D426="","",IFERROR(INDEX('DM_HinhThucChiTra'!$B$2:$B$5,AGGREGATE(15,6,ROW('DM_HinhThucChiTra'!$B$2:$B$5)-ROW('DM_HinhThucChiTra'!$B$2)+1/ISNUMBER(SEARCH(SUBSTITUTE(UPPER($D426)," ",""),'DM_HinhThucChiTra'!$C$2:$C$5)),1)),"Không tìm thấy"))</f>
        <v/>
      </c>
      <c r="I426" s="5">
        <f>IF($E426="","",IFERROR(INDEX('DM_HinhThucKham'!$B$2:$B$3,AGGREGATE(15,6,ROW('DM_HinhThucKham'!$B$2:$B$3)-ROW('DM_HinhThucKham'!$B$2)+1/ISNUMBER(SEARCH(SUBSTITUTE(UPPER($E426)," ",""),'DM_HinhThucKham'!$C$2:$C$3)),1)),"Không tìm thấy"))</f>
        <v/>
      </c>
      <c r="P426" s="5">
        <f>IF($K426="","",IFERROR(INDEX('DM_DanToc'!$B$2:$B$78,AGGREGATE(15,6,ROW('DM_DanToc'!$B$2:$B$78)-ROW('DM_DanToc'!$B$2)+1/ISNUMBER(SEARCH(SUBSTITUTE(UPPER($K426)," ",""),'DM_DanToc'!$C$2:$C$78)),1)),"Không tìm thấy"))</f>
        <v/>
      </c>
      <c r="W426" s="5">
        <f>IF($Q426="","",IFERROR(INDEX('DM_TinhThanh'!$B$2:$B$35,AGGREGATE(15,6,ROW('DM_TinhThanh'!$B$2:$B$35)-ROW('DM_TinhThanh'!$B$2)+1/ISNUMBER(SEARCH(SUBSTITUTE(UPPER($Q426)," ",""),'DM_TinhThanh'!$C$2:$C$35)),1)),"Không tìm thấy"))</f>
        <v/>
      </c>
      <c r="Y426" s="5">
        <f>IF($R426="","",IFERROR(INDEX('DM_XaPhuong'!$B$2:$B$169,AGGREGATE(15,6,ROW('DM_XaPhuong'!$B$2:$B$169)-ROW('DM_XaPhuong'!$B$2)+1/ISNUMBER(SEARCH(SUBSTITUTE(UPPER($R426)," ",""),'DM_XaPhuong'!$C$2:$C$169)),1)),"Không tìm thấy"))</f>
        <v/>
      </c>
      <c r="AB426" s="5">
        <f>IF($T426="","",IFERROR(INDEX('DM_NgheNghiep'!$B$2:$B$11,AGGREGATE(15,6,ROW('DM_NgheNghiep'!$B$2:$B$11)-ROW('DM_NgheNghiep'!$B$2)+1/ISNUMBER(SEARCH(SUBSTITUTE(UPPER($T426)," ",""),'DM_NgheNghiep'!$C$2:$C$11)),1)),"Không tìm thấy"))</f>
        <v/>
      </c>
      <c r="AD426" s="5">
        <f>IF($U426="","",IFERROR(INDEX('DM_NoiCongTac'!$B$2:$B$11,AGGREGATE(15,6,ROW('DM_NoiCongTac'!$B$2:$B$11)-ROW('DM_NoiCongTac'!$B$2)+1/ISNUMBER(SEARCH(SUBSTITUTE(UPPER($U426)," ",""),'DM_NoiCongTac'!$C$2:$C$11)),1)),"Không tìm thấy"))</f>
        <v/>
      </c>
      <c r="AF426" s="5">
        <f>IF($V426="","",IFERROR(INDEX('DM_XaPhuong'!$B$2:$B$169,AGGREGATE(15,6,ROW('DM_XaPhuong'!$B$2:$B$169)-ROW('DM_XaPhuong'!$B$2)+1/ISNUMBER(SEARCH(SUBSTITUTE(UPPER($V426)," ",""),'DM_XaPhuong'!$C$2:$C$169)),1)),"Không tìm thấy"))</f>
        <v/>
      </c>
    </row>
    <row r="427">
      <c r="C427" s="5">
        <f>IF($B427="","",IFERROR(INDEX('DM_DoiTuong'!$B$2:$B$19,AGGREGATE(15,6,ROW('DM_DoiTuong'!$B$2:$B$19)-ROW('DM_DoiTuong'!$B$2)+1/ISNUMBER(SEARCH(SUBSTITUTE(UPPER($B427)," ",""),'DM_DoiTuong'!$C$2:$C$19)),1)),"Không tìm thấy"))</f>
        <v/>
      </c>
      <c r="E427" s="5">
        <f>IF($C427="","",IFERROR(INDEX('DM_DiaDiemKham'!$B$2:$B$6,AGGREGATE(15,6,ROW('DM_DiaDiemKham'!$B$2:$B$6)-ROW('DM_DiaDiemKham'!$B$2)+1/ISNUMBER(SEARCH(SUBSTITUTE(UPPER($C427)," ",""),'DM_DiaDiemKham'!$C$2:$C$6)),1)),"Không tìm thấy"))</f>
        <v/>
      </c>
      <c r="G427" s="5">
        <f>IF($D427="","",IFERROR(INDEX('DM_HinhThucChiTra'!$B$2:$B$5,AGGREGATE(15,6,ROW('DM_HinhThucChiTra'!$B$2:$B$5)-ROW('DM_HinhThucChiTra'!$B$2)+1/ISNUMBER(SEARCH(SUBSTITUTE(UPPER($D427)," ",""),'DM_HinhThucChiTra'!$C$2:$C$5)),1)),"Không tìm thấy"))</f>
        <v/>
      </c>
      <c r="I427" s="5">
        <f>IF($E427="","",IFERROR(INDEX('DM_HinhThucKham'!$B$2:$B$3,AGGREGATE(15,6,ROW('DM_HinhThucKham'!$B$2:$B$3)-ROW('DM_HinhThucKham'!$B$2)+1/ISNUMBER(SEARCH(SUBSTITUTE(UPPER($E427)," ",""),'DM_HinhThucKham'!$C$2:$C$3)),1)),"Không tìm thấy"))</f>
        <v/>
      </c>
      <c r="P427" s="5">
        <f>IF($K427="","",IFERROR(INDEX('DM_DanToc'!$B$2:$B$78,AGGREGATE(15,6,ROW('DM_DanToc'!$B$2:$B$78)-ROW('DM_DanToc'!$B$2)+1/ISNUMBER(SEARCH(SUBSTITUTE(UPPER($K427)," ",""),'DM_DanToc'!$C$2:$C$78)),1)),"Không tìm thấy"))</f>
        <v/>
      </c>
      <c r="W427" s="5">
        <f>IF($Q427="","",IFERROR(INDEX('DM_TinhThanh'!$B$2:$B$35,AGGREGATE(15,6,ROW('DM_TinhThanh'!$B$2:$B$35)-ROW('DM_TinhThanh'!$B$2)+1/ISNUMBER(SEARCH(SUBSTITUTE(UPPER($Q427)," ",""),'DM_TinhThanh'!$C$2:$C$35)),1)),"Không tìm thấy"))</f>
        <v/>
      </c>
      <c r="Y427" s="5">
        <f>IF($R427="","",IFERROR(INDEX('DM_XaPhuong'!$B$2:$B$169,AGGREGATE(15,6,ROW('DM_XaPhuong'!$B$2:$B$169)-ROW('DM_XaPhuong'!$B$2)+1/ISNUMBER(SEARCH(SUBSTITUTE(UPPER($R427)," ",""),'DM_XaPhuong'!$C$2:$C$169)),1)),"Không tìm thấy"))</f>
        <v/>
      </c>
      <c r="AB427" s="5">
        <f>IF($T427="","",IFERROR(INDEX('DM_NgheNghiep'!$B$2:$B$11,AGGREGATE(15,6,ROW('DM_NgheNghiep'!$B$2:$B$11)-ROW('DM_NgheNghiep'!$B$2)+1/ISNUMBER(SEARCH(SUBSTITUTE(UPPER($T427)," ",""),'DM_NgheNghiep'!$C$2:$C$11)),1)),"Không tìm thấy"))</f>
        <v/>
      </c>
      <c r="AD427" s="5">
        <f>IF($U427="","",IFERROR(INDEX('DM_NoiCongTac'!$B$2:$B$11,AGGREGATE(15,6,ROW('DM_NoiCongTac'!$B$2:$B$11)-ROW('DM_NoiCongTac'!$B$2)+1/ISNUMBER(SEARCH(SUBSTITUTE(UPPER($U427)," ",""),'DM_NoiCongTac'!$C$2:$C$11)),1)),"Không tìm thấy"))</f>
        <v/>
      </c>
      <c r="AF427" s="5">
        <f>IF($V427="","",IFERROR(INDEX('DM_XaPhuong'!$B$2:$B$169,AGGREGATE(15,6,ROW('DM_XaPhuong'!$B$2:$B$169)-ROW('DM_XaPhuong'!$B$2)+1/ISNUMBER(SEARCH(SUBSTITUTE(UPPER($V427)," ",""),'DM_XaPhuong'!$C$2:$C$169)),1)),"Không tìm thấy"))</f>
        <v/>
      </c>
    </row>
    <row r="428">
      <c r="C428" s="5">
        <f>IF($B428="","",IFERROR(INDEX('DM_DoiTuong'!$B$2:$B$19,AGGREGATE(15,6,ROW('DM_DoiTuong'!$B$2:$B$19)-ROW('DM_DoiTuong'!$B$2)+1/ISNUMBER(SEARCH(SUBSTITUTE(UPPER($B428)," ",""),'DM_DoiTuong'!$C$2:$C$19)),1)),"Không tìm thấy"))</f>
        <v/>
      </c>
      <c r="E428" s="5">
        <f>IF($C428="","",IFERROR(INDEX('DM_DiaDiemKham'!$B$2:$B$6,AGGREGATE(15,6,ROW('DM_DiaDiemKham'!$B$2:$B$6)-ROW('DM_DiaDiemKham'!$B$2)+1/ISNUMBER(SEARCH(SUBSTITUTE(UPPER($C428)," ",""),'DM_DiaDiemKham'!$C$2:$C$6)),1)),"Không tìm thấy"))</f>
        <v/>
      </c>
      <c r="G428" s="5">
        <f>IF($D428="","",IFERROR(INDEX('DM_HinhThucChiTra'!$B$2:$B$5,AGGREGATE(15,6,ROW('DM_HinhThucChiTra'!$B$2:$B$5)-ROW('DM_HinhThucChiTra'!$B$2)+1/ISNUMBER(SEARCH(SUBSTITUTE(UPPER($D428)," ",""),'DM_HinhThucChiTra'!$C$2:$C$5)),1)),"Không tìm thấy"))</f>
        <v/>
      </c>
      <c r="I428" s="5">
        <f>IF($E428="","",IFERROR(INDEX('DM_HinhThucKham'!$B$2:$B$3,AGGREGATE(15,6,ROW('DM_HinhThucKham'!$B$2:$B$3)-ROW('DM_HinhThucKham'!$B$2)+1/ISNUMBER(SEARCH(SUBSTITUTE(UPPER($E428)," ",""),'DM_HinhThucKham'!$C$2:$C$3)),1)),"Không tìm thấy"))</f>
        <v/>
      </c>
      <c r="P428" s="5">
        <f>IF($K428="","",IFERROR(INDEX('DM_DanToc'!$B$2:$B$78,AGGREGATE(15,6,ROW('DM_DanToc'!$B$2:$B$78)-ROW('DM_DanToc'!$B$2)+1/ISNUMBER(SEARCH(SUBSTITUTE(UPPER($K428)," ",""),'DM_DanToc'!$C$2:$C$78)),1)),"Không tìm thấy"))</f>
        <v/>
      </c>
      <c r="W428" s="5">
        <f>IF($Q428="","",IFERROR(INDEX('DM_TinhThanh'!$B$2:$B$35,AGGREGATE(15,6,ROW('DM_TinhThanh'!$B$2:$B$35)-ROW('DM_TinhThanh'!$B$2)+1/ISNUMBER(SEARCH(SUBSTITUTE(UPPER($Q428)," ",""),'DM_TinhThanh'!$C$2:$C$35)),1)),"Không tìm thấy"))</f>
        <v/>
      </c>
      <c r="Y428" s="5">
        <f>IF($R428="","",IFERROR(INDEX('DM_XaPhuong'!$B$2:$B$169,AGGREGATE(15,6,ROW('DM_XaPhuong'!$B$2:$B$169)-ROW('DM_XaPhuong'!$B$2)+1/ISNUMBER(SEARCH(SUBSTITUTE(UPPER($R428)," ",""),'DM_XaPhuong'!$C$2:$C$169)),1)),"Không tìm thấy"))</f>
        <v/>
      </c>
      <c r="AB428" s="5">
        <f>IF($T428="","",IFERROR(INDEX('DM_NgheNghiep'!$B$2:$B$11,AGGREGATE(15,6,ROW('DM_NgheNghiep'!$B$2:$B$11)-ROW('DM_NgheNghiep'!$B$2)+1/ISNUMBER(SEARCH(SUBSTITUTE(UPPER($T428)," ",""),'DM_NgheNghiep'!$C$2:$C$11)),1)),"Không tìm thấy"))</f>
        <v/>
      </c>
      <c r="AD428" s="5">
        <f>IF($U428="","",IFERROR(INDEX('DM_NoiCongTac'!$B$2:$B$11,AGGREGATE(15,6,ROW('DM_NoiCongTac'!$B$2:$B$11)-ROW('DM_NoiCongTac'!$B$2)+1/ISNUMBER(SEARCH(SUBSTITUTE(UPPER($U428)," ",""),'DM_NoiCongTac'!$C$2:$C$11)),1)),"Không tìm thấy"))</f>
        <v/>
      </c>
      <c r="AF428" s="5">
        <f>IF($V428="","",IFERROR(INDEX('DM_XaPhuong'!$B$2:$B$169,AGGREGATE(15,6,ROW('DM_XaPhuong'!$B$2:$B$169)-ROW('DM_XaPhuong'!$B$2)+1/ISNUMBER(SEARCH(SUBSTITUTE(UPPER($V428)," ",""),'DM_XaPhuong'!$C$2:$C$169)),1)),"Không tìm thấy"))</f>
        <v/>
      </c>
    </row>
    <row r="429">
      <c r="C429" s="5">
        <f>IF($B429="","",IFERROR(INDEX('DM_DoiTuong'!$B$2:$B$19,AGGREGATE(15,6,ROW('DM_DoiTuong'!$B$2:$B$19)-ROW('DM_DoiTuong'!$B$2)+1/ISNUMBER(SEARCH(SUBSTITUTE(UPPER($B429)," ",""),'DM_DoiTuong'!$C$2:$C$19)),1)),"Không tìm thấy"))</f>
        <v/>
      </c>
      <c r="E429" s="5">
        <f>IF($C429="","",IFERROR(INDEX('DM_DiaDiemKham'!$B$2:$B$6,AGGREGATE(15,6,ROW('DM_DiaDiemKham'!$B$2:$B$6)-ROW('DM_DiaDiemKham'!$B$2)+1/ISNUMBER(SEARCH(SUBSTITUTE(UPPER($C429)," ",""),'DM_DiaDiemKham'!$C$2:$C$6)),1)),"Không tìm thấy"))</f>
        <v/>
      </c>
      <c r="G429" s="5">
        <f>IF($D429="","",IFERROR(INDEX('DM_HinhThucChiTra'!$B$2:$B$5,AGGREGATE(15,6,ROW('DM_HinhThucChiTra'!$B$2:$B$5)-ROW('DM_HinhThucChiTra'!$B$2)+1/ISNUMBER(SEARCH(SUBSTITUTE(UPPER($D429)," ",""),'DM_HinhThucChiTra'!$C$2:$C$5)),1)),"Không tìm thấy"))</f>
        <v/>
      </c>
      <c r="I429" s="5">
        <f>IF($E429="","",IFERROR(INDEX('DM_HinhThucKham'!$B$2:$B$3,AGGREGATE(15,6,ROW('DM_HinhThucKham'!$B$2:$B$3)-ROW('DM_HinhThucKham'!$B$2)+1/ISNUMBER(SEARCH(SUBSTITUTE(UPPER($E429)," ",""),'DM_HinhThucKham'!$C$2:$C$3)),1)),"Không tìm thấy"))</f>
        <v/>
      </c>
      <c r="P429" s="5">
        <f>IF($K429="","",IFERROR(INDEX('DM_DanToc'!$B$2:$B$78,AGGREGATE(15,6,ROW('DM_DanToc'!$B$2:$B$78)-ROW('DM_DanToc'!$B$2)+1/ISNUMBER(SEARCH(SUBSTITUTE(UPPER($K429)," ",""),'DM_DanToc'!$C$2:$C$78)),1)),"Không tìm thấy"))</f>
        <v/>
      </c>
      <c r="W429" s="5">
        <f>IF($Q429="","",IFERROR(INDEX('DM_TinhThanh'!$B$2:$B$35,AGGREGATE(15,6,ROW('DM_TinhThanh'!$B$2:$B$35)-ROW('DM_TinhThanh'!$B$2)+1/ISNUMBER(SEARCH(SUBSTITUTE(UPPER($Q429)," ",""),'DM_TinhThanh'!$C$2:$C$35)),1)),"Không tìm thấy"))</f>
        <v/>
      </c>
      <c r="Y429" s="5">
        <f>IF($R429="","",IFERROR(INDEX('DM_XaPhuong'!$B$2:$B$169,AGGREGATE(15,6,ROW('DM_XaPhuong'!$B$2:$B$169)-ROW('DM_XaPhuong'!$B$2)+1/ISNUMBER(SEARCH(SUBSTITUTE(UPPER($R429)," ",""),'DM_XaPhuong'!$C$2:$C$169)),1)),"Không tìm thấy"))</f>
        <v/>
      </c>
      <c r="AB429" s="5">
        <f>IF($T429="","",IFERROR(INDEX('DM_NgheNghiep'!$B$2:$B$11,AGGREGATE(15,6,ROW('DM_NgheNghiep'!$B$2:$B$11)-ROW('DM_NgheNghiep'!$B$2)+1/ISNUMBER(SEARCH(SUBSTITUTE(UPPER($T429)," ",""),'DM_NgheNghiep'!$C$2:$C$11)),1)),"Không tìm thấy"))</f>
        <v/>
      </c>
      <c r="AD429" s="5">
        <f>IF($U429="","",IFERROR(INDEX('DM_NoiCongTac'!$B$2:$B$11,AGGREGATE(15,6,ROW('DM_NoiCongTac'!$B$2:$B$11)-ROW('DM_NoiCongTac'!$B$2)+1/ISNUMBER(SEARCH(SUBSTITUTE(UPPER($U429)," ",""),'DM_NoiCongTac'!$C$2:$C$11)),1)),"Không tìm thấy"))</f>
        <v/>
      </c>
      <c r="AF429" s="5">
        <f>IF($V429="","",IFERROR(INDEX('DM_XaPhuong'!$B$2:$B$169,AGGREGATE(15,6,ROW('DM_XaPhuong'!$B$2:$B$169)-ROW('DM_XaPhuong'!$B$2)+1/ISNUMBER(SEARCH(SUBSTITUTE(UPPER($V429)," ",""),'DM_XaPhuong'!$C$2:$C$169)),1)),"Không tìm thấy"))</f>
        <v/>
      </c>
    </row>
    <row r="430">
      <c r="C430" s="5">
        <f>IF($B430="","",IFERROR(INDEX('DM_DoiTuong'!$B$2:$B$19,AGGREGATE(15,6,ROW('DM_DoiTuong'!$B$2:$B$19)-ROW('DM_DoiTuong'!$B$2)+1/ISNUMBER(SEARCH(SUBSTITUTE(UPPER($B430)," ",""),'DM_DoiTuong'!$C$2:$C$19)),1)),"Không tìm thấy"))</f>
        <v/>
      </c>
      <c r="E430" s="5">
        <f>IF($C430="","",IFERROR(INDEX('DM_DiaDiemKham'!$B$2:$B$6,AGGREGATE(15,6,ROW('DM_DiaDiemKham'!$B$2:$B$6)-ROW('DM_DiaDiemKham'!$B$2)+1/ISNUMBER(SEARCH(SUBSTITUTE(UPPER($C430)," ",""),'DM_DiaDiemKham'!$C$2:$C$6)),1)),"Không tìm thấy"))</f>
        <v/>
      </c>
      <c r="G430" s="5">
        <f>IF($D430="","",IFERROR(INDEX('DM_HinhThucChiTra'!$B$2:$B$5,AGGREGATE(15,6,ROW('DM_HinhThucChiTra'!$B$2:$B$5)-ROW('DM_HinhThucChiTra'!$B$2)+1/ISNUMBER(SEARCH(SUBSTITUTE(UPPER($D430)," ",""),'DM_HinhThucChiTra'!$C$2:$C$5)),1)),"Không tìm thấy"))</f>
        <v/>
      </c>
      <c r="I430" s="5">
        <f>IF($E430="","",IFERROR(INDEX('DM_HinhThucKham'!$B$2:$B$3,AGGREGATE(15,6,ROW('DM_HinhThucKham'!$B$2:$B$3)-ROW('DM_HinhThucKham'!$B$2)+1/ISNUMBER(SEARCH(SUBSTITUTE(UPPER($E430)," ",""),'DM_HinhThucKham'!$C$2:$C$3)),1)),"Không tìm thấy"))</f>
        <v/>
      </c>
      <c r="P430" s="5">
        <f>IF($K430="","",IFERROR(INDEX('DM_DanToc'!$B$2:$B$78,AGGREGATE(15,6,ROW('DM_DanToc'!$B$2:$B$78)-ROW('DM_DanToc'!$B$2)+1/ISNUMBER(SEARCH(SUBSTITUTE(UPPER($K430)," ",""),'DM_DanToc'!$C$2:$C$78)),1)),"Không tìm thấy"))</f>
        <v/>
      </c>
      <c r="W430" s="5">
        <f>IF($Q430="","",IFERROR(INDEX('DM_TinhThanh'!$B$2:$B$35,AGGREGATE(15,6,ROW('DM_TinhThanh'!$B$2:$B$35)-ROW('DM_TinhThanh'!$B$2)+1/ISNUMBER(SEARCH(SUBSTITUTE(UPPER($Q430)," ",""),'DM_TinhThanh'!$C$2:$C$35)),1)),"Không tìm thấy"))</f>
        <v/>
      </c>
      <c r="Y430" s="5">
        <f>IF($R430="","",IFERROR(INDEX('DM_XaPhuong'!$B$2:$B$169,AGGREGATE(15,6,ROW('DM_XaPhuong'!$B$2:$B$169)-ROW('DM_XaPhuong'!$B$2)+1/ISNUMBER(SEARCH(SUBSTITUTE(UPPER($R430)," ",""),'DM_XaPhuong'!$C$2:$C$169)),1)),"Không tìm thấy"))</f>
        <v/>
      </c>
      <c r="AB430" s="5">
        <f>IF($T430="","",IFERROR(INDEX('DM_NgheNghiep'!$B$2:$B$11,AGGREGATE(15,6,ROW('DM_NgheNghiep'!$B$2:$B$11)-ROW('DM_NgheNghiep'!$B$2)+1/ISNUMBER(SEARCH(SUBSTITUTE(UPPER($T430)," ",""),'DM_NgheNghiep'!$C$2:$C$11)),1)),"Không tìm thấy"))</f>
        <v/>
      </c>
      <c r="AD430" s="5">
        <f>IF($U430="","",IFERROR(INDEX('DM_NoiCongTac'!$B$2:$B$11,AGGREGATE(15,6,ROW('DM_NoiCongTac'!$B$2:$B$11)-ROW('DM_NoiCongTac'!$B$2)+1/ISNUMBER(SEARCH(SUBSTITUTE(UPPER($U430)," ",""),'DM_NoiCongTac'!$C$2:$C$11)),1)),"Không tìm thấy"))</f>
        <v/>
      </c>
      <c r="AF430" s="5">
        <f>IF($V430="","",IFERROR(INDEX('DM_XaPhuong'!$B$2:$B$169,AGGREGATE(15,6,ROW('DM_XaPhuong'!$B$2:$B$169)-ROW('DM_XaPhuong'!$B$2)+1/ISNUMBER(SEARCH(SUBSTITUTE(UPPER($V430)," ",""),'DM_XaPhuong'!$C$2:$C$169)),1)),"Không tìm thấy"))</f>
        <v/>
      </c>
    </row>
    <row r="431">
      <c r="C431" s="5">
        <f>IF($B431="","",IFERROR(INDEX('DM_DoiTuong'!$B$2:$B$19,AGGREGATE(15,6,ROW('DM_DoiTuong'!$B$2:$B$19)-ROW('DM_DoiTuong'!$B$2)+1/ISNUMBER(SEARCH(SUBSTITUTE(UPPER($B431)," ",""),'DM_DoiTuong'!$C$2:$C$19)),1)),"Không tìm thấy"))</f>
        <v/>
      </c>
      <c r="E431" s="5">
        <f>IF($C431="","",IFERROR(INDEX('DM_DiaDiemKham'!$B$2:$B$6,AGGREGATE(15,6,ROW('DM_DiaDiemKham'!$B$2:$B$6)-ROW('DM_DiaDiemKham'!$B$2)+1/ISNUMBER(SEARCH(SUBSTITUTE(UPPER($C431)," ",""),'DM_DiaDiemKham'!$C$2:$C$6)),1)),"Không tìm thấy"))</f>
        <v/>
      </c>
      <c r="G431" s="5">
        <f>IF($D431="","",IFERROR(INDEX('DM_HinhThucChiTra'!$B$2:$B$5,AGGREGATE(15,6,ROW('DM_HinhThucChiTra'!$B$2:$B$5)-ROW('DM_HinhThucChiTra'!$B$2)+1/ISNUMBER(SEARCH(SUBSTITUTE(UPPER($D431)," ",""),'DM_HinhThucChiTra'!$C$2:$C$5)),1)),"Không tìm thấy"))</f>
        <v/>
      </c>
      <c r="I431" s="5">
        <f>IF($E431="","",IFERROR(INDEX('DM_HinhThucKham'!$B$2:$B$3,AGGREGATE(15,6,ROW('DM_HinhThucKham'!$B$2:$B$3)-ROW('DM_HinhThucKham'!$B$2)+1/ISNUMBER(SEARCH(SUBSTITUTE(UPPER($E431)," ",""),'DM_HinhThucKham'!$C$2:$C$3)),1)),"Không tìm thấy"))</f>
        <v/>
      </c>
      <c r="P431" s="5">
        <f>IF($K431="","",IFERROR(INDEX('DM_DanToc'!$B$2:$B$78,AGGREGATE(15,6,ROW('DM_DanToc'!$B$2:$B$78)-ROW('DM_DanToc'!$B$2)+1/ISNUMBER(SEARCH(SUBSTITUTE(UPPER($K431)," ",""),'DM_DanToc'!$C$2:$C$78)),1)),"Không tìm thấy"))</f>
        <v/>
      </c>
      <c r="W431" s="5">
        <f>IF($Q431="","",IFERROR(INDEX('DM_TinhThanh'!$B$2:$B$35,AGGREGATE(15,6,ROW('DM_TinhThanh'!$B$2:$B$35)-ROW('DM_TinhThanh'!$B$2)+1/ISNUMBER(SEARCH(SUBSTITUTE(UPPER($Q431)," ",""),'DM_TinhThanh'!$C$2:$C$35)),1)),"Không tìm thấy"))</f>
        <v/>
      </c>
      <c r="Y431" s="5">
        <f>IF($R431="","",IFERROR(INDEX('DM_XaPhuong'!$B$2:$B$169,AGGREGATE(15,6,ROW('DM_XaPhuong'!$B$2:$B$169)-ROW('DM_XaPhuong'!$B$2)+1/ISNUMBER(SEARCH(SUBSTITUTE(UPPER($R431)," ",""),'DM_XaPhuong'!$C$2:$C$169)),1)),"Không tìm thấy"))</f>
        <v/>
      </c>
      <c r="AB431" s="5">
        <f>IF($T431="","",IFERROR(INDEX('DM_NgheNghiep'!$B$2:$B$11,AGGREGATE(15,6,ROW('DM_NgheNghiep'!$B$2:$B$11)-ROW('DM_NgheNghiep'!$B$2)+1/ISNUMBER(SEARCH(SUBSTITUTE(UPPER($T431)," ",""),'DM_NgheNghiep'!$C$2:$C$11)),1)),"Không tìm thấy"))</f>
        <v/>
      </c>
      <c r="AD431" s="5">
        <f>IF($U431="","",IFERROR(INDEX('DM_NoiCongTac'!$B$2:$B$11,AGGREGATE(15,6,ROW('DM_NoiCongTac'!$B$2:$B$11)-ROW('DM_NoiCongTac'!$B$2)+1/ISNUMBER(SEARCH(SUBSTITUTE(UPPER($U431)," ",""),'DM_NoiCongTac'!$C$2:$C$11)),1)),"Không tìm thấy"))</f>
        <v/>
      </c>
      <c r="AF431" s="5">
        <f>IF($V431="","",IFERROR(INDEX('DM_XaPhuong'!$B$2:$B$169,AGGREGATE(15,6,ROW('DM_XaPhuong'!$B$2:$B$169)-ROW('DM_XaPhuong'!$B$2)+1/ISNUMBER(SEARCH(SUBSTITUTE(UPPER($V431)," ",""),'DM_XaPhuong'!$C$2:$C$169)),1)),"Không tìm thấy"))</f>
        <v/>
      </c>
    </row>
    <row r="432">
      <c r="C432" s="5">
        <f>IF($B432="","",IFERROR(INDEX('DM_DoiTuong'!$B$2:$B$19,AGGREGATE(15,6,ROW('DM_DoiTuong'!$B$2:$B$19)-ROW('DM_DoiTuong'!$B$2)+1/ISNUMBER(SEARCH(SUBSTITUTE(UPPER($B432)," ",""),'DM_DoiTuong'!$C$2:$C$19)),1)),"Không tìm thấy"))</f>
        <v/>
      </c>
      <c r="E432" s="5">
        <f>IF($C432="","",IFERROR(INDEX('DM_DiaDiemKham'!$B$2:$B$6,AGGREGATE(15,6,ROW('DM_DiaDiemKham'!$B$2:$B$6)-ROW('DM_DiaDiemKham'!$B$2)+1/ISNUMBER(SEARCH(SUBSTITUTE(UPPER($C432)," ",""),'DM_DiaDiemKham'!$C$2:$C$6)),1)),"Không tìm thấy"))</f>
        <v/>
      </c>
      <c r="G432" s="5">
        <f>IF($D432="","",IFERROR(INDEX('DM_HinhThucChiTra'!$B$2:$B$5,AGGREGATE(15,6,ROW('DM_HinhThucChiTra'!$B$2:$B$5)-ROW('DM_HinhThucChiTra'!$B$2)+1/ISNUMBER(SEARCH(SUBSTITUTE(UPPER($D432)," ",""),'DM_HinhThucChiTra'!$C$2:$C$5)),1)),"Không tìm thấy"))</f>
        <v/>
      </c>
      <c r="I432" s="5">
        <f>IF($E432="","",IFERROR(INDEX('DM_HinhThucKham'!$B$2:$B$3,AGGREGATE(15,6,ROW('DM_HinhThucKham'!$B$2:$B$3)-ROW('DM_HinhThucKham'!$B$2)+1/ISNUMBER(SEARCH(SUBSTITUTE(UPPER($E432)," ",""),'DM_HinhThucKham'!$C$2:$C$3)),1)),"Không tìm thấy"))</f>
        <v/>
      </c>
      <c r="P432" s="5">
        <f>IF($K432="","",IFERROR(INDEX('DM_DanToc'!$B$2:$B$78,AGGREGATE(15,6,ROW('DM_DanToc'!$B$2:$B$78)-ROW('DM_DanToc'!$B$2)+1/ISNUMBER(SEARCH(SUBSTITUTE(UPPER($K432)," ",""),'DM_DanToc'!$C$2:$C$78)),1)),"Không tìm thấy"))</f>
        <v/>
      </c>
      <c r="W432" s="5">
        <f>IF($Q432="","",IFERROR(INDEX('DM_TinhThanh'!$B$2:$B$35,AGGREGATE(15,6,ROW('DM_TinhThanh'!$B$2:$B$35)-ROW('DM_TinhThanh'!$B$2)+1/ISNUMBER(SEARCH(SUBSTITUTE(UPPER($Q432)," ",""),'DM_TinhThanh'!$C$2:$C$35)),1)),"Không tìm thấy"))</f>
        <v/>
      </c>
      <c r="Y432" s="5">
        <f>IF($R432="","",IFERROR(INDEX('DM_XaPhuong'!$B$2:$B$169,AGGREGATE(15,6,ROW('DM_XaPhuong'!$B$2:$B$169)-ROW('DM_XaPhuong'!$B$2)+1/ISNUMBER(SEARCH(SUBSTITUTE(UPPER($R432)," ",""),'DM_XaPhuong'!$C$2:$C$169)),1)),"Không tìm thấy"))</f>
        <v/>
      </c>
      <c r="AB432" s="5">
        <f>IF($T432="","",IFERROR(INDEX('DM_NgheNghiep'!$B$2:$B$11,AGGREGATE(15,6,ROW('DM_NgheNghiep'!$B$2:$B$11)-ROW('DM_NgheNghiep'!$B$2)+1/ISNUMBER(SEARCH(SUBSTITUTE(UPPER($T432)," ",""),'DM_NgheNghiep'!$C$2:$C$11)),1)),"Không tìm thấy"))</f>
        <v/>
      </c>
      <c r="AD432" s="5">
        <f>IF($U432="","",IFERROR(INDEX('DM_NoiCongTac'!$B$2:$B$11,AGGREGATE(15,6,ROW('DM_NoiCongTac'!$B$2:$B$11)-ROW('DM_NoiCongTac'!$B$2)+1/ISNUMBER(SEARCH(SUBSTITUTE(UPPER($U432)," ",""),'DM_NoiCongTac'!$C$2:$C$11)),1)),"Không tìm thấy"))</f>
        <v/>
      </c>
      <c r="AF432" s="5">
        <f>IF($V432="","",IFERROR(INDEX('DM_XaPhuong'!$B$2:$B$169,AGGREGATE(15,6,ROW('DM_XaPhuong'!$B$2:$B$169)-ROW('DM_XaPhuong'!$B$2)+1/ISNUMBER(SEARCH(SUBSTITUTE(UPPER($V432)," ",""),'DM_XaPhuong'!$C$2:$C$169)),1)),"Không tìm thấy"))</f>
        <v/>
      </c>
    </row>
    <row r="433">
      <c r="C433" s="5">
        <f>IF($B433="","",IFERROR(INDEX('DM_DoiTuong'!$B$2:$B$19,AGGREGATE(15,6,ROW('DM_DoiTuong'!$B$2:$B$19)-ROW('DM_DoiTuong'!$B$2)+1/ISNUMBER(SEARCH(SUBSTITUTE(UPPER($B433)," ",""),'DM_DoiTuong'!$C$2:$C$19)),1)),"Không tìm thấy"))</f>
        <v/>
      </c>
      <c r="E433" s="5">
        <f>IF($C433="","",IFERROR(INDEX('DM_DiaDiemKham'!$B$2:$B$6,AGGREGATE(15,6,ROW('DM_DiaDiemKham'!$B$2:$B$6)-ROW('DM_DiaDiemKham'!$B$2)+1/ISNUMBER(SEARCH(SUBSTITUTE(UPPER($C433)," ",""),'DM_DiaDiemKham'!$C$2:$C$6)),1)),"Không tìm thấy"))</f>
        <v/>
      </c>
      <c r="G433" s="5">
        <f>IF($D433="","",IFERROR(INDEX('DM_HinhThucChiTra'!$B$2:$B$5,AGGREGATE(15,6,ROW('DM_HinhThucChiTra'!$B$2:$B$5)-ROW('DM_HinhThucChiTra'!$B$2)+1/ISNUMBER(SEARCH(SUBSTITUTE(UPPER($D433)," ",""),'DM_HinhThucChiTra'!$C$2:$C$5)),1)),"Không tìm thấy"))</f>
        <v/>
      </c>
      <c r="I433" s="5">
        <f>IF($E433="","",IFERROR(INDEX('DM_HinhThucKham'!$B$2:$B$3,AGGREGATE(15,6,ROW('DM_HinhThucKham'!$B$2:$B$3)-ROW('DM_HinhThucKham'!$B$2)+1/ISNUMBER(SEARCH(SUBSTITUTE(UPPER($E433)," ",""),'DM_HinhThucKham'!$C$2:$C$3)),1)),"Không tìm thấy"))</f>
        <v/>
      </c>
      <c r="P433" s="5">
        <f>IF($K433="","",IFERROR(INDEX('DM_DanToc'!$B$2:$B$78,AGGREGATE(15,6,ROW('DM_DanToc'!$B$2:$B$78)-ROW('DM_DanToc'!$B$2)+1/ISNUMBER(SEARCH(SUBSTITUTE(UPPER($K433)," ",""),'DM_DanToc'!$C$2:$C$78)),1)),"Không tìm thấy"))</f>
        <v/>
      </c>
      <c r="W433" s="5">
        <f>IF($Q433="","",IFERROR(INDEX('DM_TinhThanh'!$B$2:$B$35,AGGREGATE(15,6,ROW('DM_TinhThanh'!$B$2:$B$35)-ROW('DM_TinhThanh'!$B$2)+1/ISNUMBER(SEARCH(SUBSTITUTE(UPPER($Q433)," ",""),'DM_TinhThanh'!$C$2:$C$35)),1)),"Không tìm thấy"))</f>
        <v/>
      </c>
      <c r="Y433" s="5">
        <f>IF($R433="","",IFERROR(INDEX('DM_XaPhuong'!$B$2:$B$169,AGGREGATE(15,6,ROW('DM_XaPhuong'!$B$2:$B$169)-ROW('DM_XaPhuong'!$B$2)+1/ISNUMBER(SEARCH(SUBSTITUTE(UPPER($R433)," ",""),'DM_XaPhuong'!$C$2:$C$169)),1)),"Không tìm thấy"))</f>
        <v/>
      </c>
      <c r="AB433" s="5">
        <f>IF($T433="","",IFERROR(INDEX('DM_NgheNghiep'!$B$2:$B$11,AGGREGATE(15,6,ROW('DM_NgheNghiep'!$B$2:$B$11)-ROW('DM_NgheNghiep'!$B$2)+1/ISNUMBER(SEARCH(SUBSTITUTE(UPPER($T433)," ",""),'DM_NgheNghiep'!$C$2:$C$11)),1)),"Không tìm thấy"))</f>
        <v/>
      </c>
      <c r="AD433" s="5">
        <f>IF($U433="","",IFERROR(INDEX('DM_NoiCongTac'!$B$2:$B$11,AGGREGATE(15,6,ROW('DM_NoiCongTac'!$B$2:$B$11)-ROW('DM_NoiCongTac'!$B$2)+1/ISNUMBER(SEARCH(SUBSTITUTE(UPPER($U433)," ",""),'DM_NoiCongTac'!$C$2:$C$11)),1)),"Không tìm thấy"))</f>
        <v/>
      </c>
      <c r="AF433" s="5">
        <f>IF($V433="","",IFERROR(INDEX('DM_XaPhuong'!$B$2:$B$169,AGGREGATE(15,6,ROW('DM_XaPhuong'!$B$2:$B$169)-ROW('DM_XaPhuong'!$B$2)+1/ISNUMBER(SEARCH(SUBSTITUTE(UPPER($V433)," ",""),'DM_XaPhuong'!$C$2:$C$169)),1)),"Không tìm thấy"))</f>
        <v/>
      </c>
    </row>
    <row r="434">
      <c r="C434" s="5">
        <f>IF($B434="","",IFERROR(INDEX('DM_DoiTuong'!$B$2:$B$19,AGGREGATE(15,6,ROW('DM_DoiTuong'!$B$2:$B$19)-ROW('DM_DoiTuong'!$B$2)+1/ISNUMBER(SEARCH(SUBSTITUTE(UPPER($B434)," ",""),'DM_DoiTuong'!$C$2:$C$19)),1)),"Không tìm thấy"))</f>
        <v/>
      </c>
      <c r="E434" s="5">
        <f>IF($C434="","",IFERROR(INDEX('DM_DiaDiemKham'!$B$2:$B$6,AGGREGATE(15,6,ROW('DM_DiaDiemKham'!$B$2:$B$6)-ROW('DM_DiaDiemKham'!$B$2)+1/ISNUMBER(SEARCH(SUBSTITUTE(UPPER($C434)," ",""),'DM_DiaDiemKham'!$C$2:$C$6)),1)),"Không tìm thấy"))</f>
        <v/>
      </c>
      <c r="G434" s="5">
        <f>IF($D434="","",IFERROR(INDEX('DM_HinhThucChiTra'!$B$2:$B$5,AGGREGATE(15,6,ROW('DM_HinhThucChiTra'!$B$2:$B$5)-ROW('DM_HinhThucChiTra'!$B$2)+1/ISNUMBER(SEARCH(SUBSTITUTE(UPPER($D434)," ",""),'DM_HinhThucChiTra'!$C$2:$C$5)),1)),"Không tìm thấy"))</f>
        <v/>
      </c>
      <c r="I434" s="5">
        <f>IF($E434="","",IFERROR(INDEX('DM_HinhThucKham'!$B$2:$B$3,AGGREGATE(15,6,ROW('DM_HinhThucKham'!$B$2:$B$3)-ROW('DM_HinhThucKham'!$B$2)+1/ISNUMBER(SEARCH(SUBSTITUTE(UPPER($E434)," ",""),'DM_HinhThucKham'!$C$2:$C$3)),1)),"Không tìm thấy"))</f>
        <v/>
      </c>
      <c r="P434" s="5">
        <f>IF($K434="","",IFERROR(INDEX('DM_DanToc'!$B$2:$B$78,AGGREGATE(15,6,ROW('DM_DanToc'!$B$2:$B$78)-ROW('DM_DanToc'!$B$2)+1/ISNUMBER(SEARCH(SUBSTITUTE(UPPER($K434)," ",""),'DM_DanToc'!$C$2:$C$78)),1)),"Không tìm thấy"))</f>
        <v/>
      </c>
      <c r="W434" s="5">
        <f>IF($Q434="","",IFERROR(INDEX('DM_TinhThanh'!$B$2:$B$35,AGGREGATE(15,6,ROW('DM_TinhThanh'!$B$2:$B$35)-ROW('DM_TinhThanh'!$B$2)+1/ISNUMBER(SEARCH(SUBSTITUTE(UPPER($Q434)," ",""),'DM_TinhThanh'!$C$2:$C$35)),1)),"Không tìm thấy"))</f>
        <v/>
      </c>
      <c r="Y434" s="5">
        <f>IF($R434="","",IFERROR(INDEX('DM_XaPhuong'!$B$2:$B$169,AGGREGATE(15,6,ROW('DM_XaPhuong'!$B$2:$B$169)-ROW('DM_XaPhuong'!$B$2)+1/ISNUMBER(SEARCH(SUBSTITUTE(UPPER($R434)," ",""),'DM_XaPhuong'!$C$2:$C$169)),1)),"Không tìm thấy"))</f>
        <v/>
      </c>
      <c r="AB434" s="5">
        <f>IF($T434="","",IFERROR(INDEX('DM_NgheNghiep'!$B$2:$B$11,AGGREGATE(15,6,ROW('DM_NgheNghiep'!$B$2:$B$11)-ROW('DM_NgheNghiep'!$B$2)+1/ISNUMBER(SEARCH(SUBSTITUTE(UPPER($T434)," ",""),'DM_NgheNghiep'!$C$2:$C$11)),1)),"Không tìm thấy"))</f>
        <v/>
      </c>
      <c r="AD434" s="5">
        <f>IF($U434="","",IFERROR(INDEX('DM_NoiCongTac'!$B$2:$B$11,AGGREGATE(15,6,ROW('DM_NoiCongTac'!$B$2:$B$11)-ROW('DM_NoiCongTac'!$B$2)+1/ISNUMBER(SEARCH(SUBSTITUTE(UPPER($U434)," ",""),'DM_NoiCongTac'!$C$2:$C$11)),1)),"Không tìm thấy"))</f>
        <v/>
      </c>
      <c r="AF434" s="5">
        <f>IF($V434="","",IFERROR(INDEX('DM_XaPhuong'!$B$2:$B$169,AGGREGATE(15,6,ROW('DM_XaPhuong'!$B$2:$B$169)-ROW('DM_XaPhuong'!$B$2)+1/ISNUMBER(SEARCH(SUBSTITUTE(UPPER($V434)," ",""),'DM_XaPhuong'!$C$2:$C$169)),1)),"Không tìm thấy"))</f>
        <v/>
      </c>
    </row>
    <row r="435">
      <c r="C435" s="5">
        <f>IF($B435="","",IFERROR(INDEX('DM_DoiTuong'!$B$2:$B$19,AGGREGATE(15,6,ROW('DM_DoiTuong'!$B$2:$B$19)-ROW('DM_DoiTuong'!$B$2)+1/ISNUMBER(SEARCH(SUBSTITUTE(UPPER($B435)," ",""),'DM_DoiTuong'!$C$2:$C$19)),1)),"Không tìm thấy"))</f>
        <v/>
      </c>
      <c r="E435" s="5">
        <f>IF($C435="","",IFERROR(INDEX('DM_DiaDiemKham'!$B$2:$B$6,AGGREGATE(15,6,ROW('DM_DiaDiemKham'!$B$2:$B$6)-ROW('DM_DiaDiemKham'!$B$2)+1/ISNUMBER(SEARCH(SUBSTITUTE(UPPER($C435)," ",""),'DM_DiaDiemKham'!$C$2:$C$6)),1)),"Không tìm thấy"))</f>
        <v/>
      </c>
      <c r="G435" s="5">
        <f>IF($D435="","",IFERROR(INDEX('DM_HinhThucChiTra'!$B$2:$B$5,AGGREGATE(15,6,ROW('DM_HinhThucChiTra'!$B$2:$B$5)-ROW('DM_HinhThucChiTra'!$B$2)+1/ISNUMBER(SEARCH(SUBSTITUTE(UPPER($D435)," ",""),'DM_HinhThucChiTra'!$C$2:$C$5)),1)),"Không tìm thấy"))</f>
        <v/>
      </c>
      <c r="I435" s="5">
        <f>IF($E435="","",IFERROR(INDEX('DM_HinhThucKham'!$B$2:$B$3,AGGREGATE(15,6,ROW('DM_HinhThucKham'!$B$2:$B$3)-ROW('DM_HinhThucKham'!$B$2)+1/ISNUMBER(SEARCH(SUBSTITUTE(UPPER($E435)," ",""),'DM_HinhThucKham'!$C$2:$C$3)),1)),"Không tìm thấy"))</f>
        <v/>
      </c>
      <c r="P435" s="5">
        <f>IF($K435="","",IFERROR(INDEX('DM_DanToc'!$B$2:$B$78,AGGREGATE(15,6,ROW('DM_DanToc'!$B$2:$B$78)-ROW('DM_DanToc'!$B$2)+1/ISNUMBER(SEARCH(SUBSTITUTE(UPPER($K435)," ",""),'DM_DanToc'!$C$2:$C$78)),1)),"Không tìm thấy"))</f>
        <v/>
      </c>
      <c r="W435" s="5">
        <f>IF($Q435="","",IFERROR(INDEX('DM_TinhThanh'!$B$2:$B$35,AGGREGATE(15,6,ROW('DM_TinhThanh'!$B$2:$B$35)-ROW('DM_TinhThanh'!$B$2)+1/ISNUMBER(SEARCH(SUBSTITUTE(UPPER($Q435)," ",""),'DM_TinhThanh'!$C$2:$C$35)),1)),"Không tìm thấy"))</f>
        <v/>
      </c>
      <c r="Y435" s="5">
        <f>IF($R435="","",IFERROR(INDEX('DM_XaPhuong'!$B$2:$B$169,AGGREGATE(15,6,ROW('DM_XaPhuong'!$B$2:$B$169)-ROW('DM_XaPhuong'!$B$2)+1/ISNUMBER(SEARCH(SUBSTITUTE(UPPER($R435)," ",""),'DM_XaPhuong'!$C$2:$C$169)),1)),"Không tìm thấy"))</f>
        <v/>
      </c>
      <c r="AB435" s="5">
        <f>IF($T435="","",IFERROR(INDEX('DM_NgheNghiep'!$B$2:$B$11,AGGREGATE(15,6,ROW('DM_NgheNghiep'!$B$2:$B$11)-ROW('DM_NgheNghiep'!$B$2)+1/ISNUMBER(SEARCH(SUBSTITUTE(UPPER($T435)," ",""),'DM_NgheNghiep'!$C$2:$C$11)),1)),"Không tìm thấy"))</f>
        <v/>
      </c>
      <c r="AD435" s="5">
        <f>IF($U435="","",IFERROR(INDEX('DM_NoiCongTac'!$B$2:$B$11,AGGREGATE(15,6,ROW('DM_NoiCongTac'!$B$2:$B$11)-ROW('DM_NoiCongTac'!$B$2)+1/ISNUMBER(SEARCH(SUBSTITUTE(UPPER($U435)," ",""),'DM_NoiCongTac'!$C$2:$C$11)),1)),"Không tìm thấy"))</f>
        <v/>
      </c>
      <c r="AF435" s="5">
        <f>IF($V435="","",IFERROR(INDEX('DM_XaPhuong'!$B$2:$B$169,AGGREGATE(15,6,ROW('DM_XaPhuong'!$B$2:$B$169)-ROW('DM_XaPhuong'!$B$2)+1/ISNUMBER(SEARCH(SUBSTITUTE(UPPER($V435)," ",""),'DM_XaPhuong'!$C$2:$C$169)),1)),"Không tìm thấy"))</f>
        <v/>
      </c>
    </row>
    <row r="436">
      <c r="C436" s="5">
        <f>IF($B436="","",IFERROR(INDEX('DM_DoiTuong'!$B$2:$B$19,AGGREGATE(15,6,ROW('DM_DoiTuong'!$B$2:$B$19)-ROW('DM_DoiTuong'!$B$2)+1/ISNUMBER(SEARCH(SUBSTITUTE(UPPER($B436)," ",""),'DM_DoiTuong'!$C$2:$C$19)),1)),"Không tìm thấy"))</f>
        <v/>
      </c>
      <c r="E436" s="5">
        <f>IF($C436="","",IFERROR(INDEX('DM_DiaDiemKham'!$B$2:$B$6,AGGREGATE(15,6,ROW('DM_DiaDiemKham'!$B$2:$B$6)-ROW('DM_DiaDiemKham'!$B$2)+1/ISNUMBER(SEARCH(SUBSTITUTE(UPPER($C436)," ",""),'DM_DiaDiemKham'!$C$2:$C$6)),1)),"Không tìm thấy"))</f>
        <v/>
      </c>
      <c r="G436" s="5">
        <f>IF($D436="","",IFERROR(INDEX('DM_HinhThucChiTra'!$B$2:$B$5,AGGREGATE(15,6,ROW('DM_HinhThucChiTra'!$B$2:$B$5)-ROW('DM_HinhThucChiTra'!$B$2)+1/ISNUMBER(SEARCH(SUBSTITUTE(UPPER($D436)," ",""),'DM_HinhThucChiTra'!$C$2:$C$5)),1)),"Không tìm thấy"))</f>
        <v/>
      </c>
      <c r="I436" s="5">
        <f>IF($E436="","",IFERROR(INDEX('DM_HinhThucKham'!$B$2:$B$3,AGGREGATE(15,6,ROW('DM_HinhThucKham'!$B$2:$B$3)-ROW('DM_HinhThucKham'!$B$2)+1/ISNUMBER(SEARCH(SUBSTITUTE(UPPER($E436)," ",""),'DM_HinhThucKham'!$C$2:$C$3)),1)),"Không tìm thấy"))</f>
        <v/>
      </c>
      <c r="P436" s="5">
        <f>IF($K436="","",IFERROR(INDEX('DM_DanToc'!$B$2:$B$78,AGGREGATE(15,6,ROW('DM_DanToc'!$B$2:$B$78)-ROW('DM_DanToc'!$B$2)+1/ISNUMBER(SEARCH(SUBSTITUTE(UPPER($K436)," ",""),'DM_DanToc'!$C$2:$C$78)),1)),"Không tìm thấy"))</f>
        <v/>
      </c>
      <c r="W436" s="5">
        <f>IF($Q436="","",IFERROR(INDEX('DM_TinhThanh'!$B$2:$B$35,AGGREGATE(15,6,ROW('DM_TinhThanh'!$B$2:$B$35)-ROW('DM_TinhThanh'!$B$2)+1/ISNUMBER(SEARCH(SUBSTITUTE(UPPER($Q436)," ",""),'DM_TinhThanh'!$C$2:$C$35)),1)),"Không tìm thấy"))</f>
        <v/>
      </c>
      <c r="Y436" s="5">
        <f>IF($R436="","",IFERROR(INDEX('DM_XaPhuong'!$B$2:$B$169,AGGREGATE(15,6,ROW('DM_XaPhuong'!$B$2:$B$169)-ROW('DM_XaPhuong'!$B$2)+1/ISNUMBER(SEARCH(SUBSTITUTE(UPPER($R436)," ",""),'DM_XaPhuong'!$C$2:$C$169)),1)),"Không tìm thấy"))</f>
        <v/>
      </c>
      <c r="AB436" s="5">
        <f>IF($T436="","",IFERROR(INDEX('DM_NgheNghiep'!$B$2:$B$11,AGGREGATE(15,6,ROW('DM_NgheNghiep'!$B$2:$B$11)-ROW('DM_NgheNghiep'!$B$2)+1/ISNUMBER(SEARCH(SUBSTITUTE(UPPER($T436)," ",""),'DM_NgheNghiep'!$C$2:$C$11)),1)),"Không tìm thấy"))</f>
        <v/>
      </c>
      <c r="AD436" s="5">
        <f>IF($U436="","",IFERROR(INDEX('DM_NoiCongTac'!$B$2:$B$11,AGGREGATE(15,6,ROW('DM_NoiCongTac'!$B$2:$B$11)-ROW('DM_NoiCongTac'!$B$2)+1/ISNUMBER(SEARCH(SUBSTITUTE(UPPER($U436)," ",""),'DM_NoiCongTac'!$C$2:$C$11)),1)),"Không tìm thấy"))</f>
        <v/>
      </c>
      <c r="AF436" s="5">
        <f>IF($V436="","",IFERROR(INDEX('DM_XaPhuong'!$B$2:$B$169,AGGREGATE(15,6,ROW('DM_XaPhuong'!$B$2:$B$169)-ROW('DM_XaPhuong'!$B$2)+1/ISNUMBER(SEARCH(SUBSTITUTE(UPPER($V436)," ",""),'DM_XaPhuong'!$C$2:$C$169)),1)),"Không tìm thấy"))</f>
        <v/>
      </c>
    </row>
    <row r="437">
      <c r="C437" s="5">
        <f>IF($B437="","",IFERROR(INDEX('DM_DoiTuong'!$B$2:$B$19,AGGREGATE(15,6,ROW('DM_DoiTuong'!$B$2:$B$19)-ROW('DM_DoiTuong'!$B$2)+1/ISNUMBER(SEARCH(SUBSTITUTE(UPPER($B437)," ",""),'DM_DoiTuong'!$C$2:$C$19)),1)),"Không tìm thấy"))</f>
        <v/>
      </c>
      <c r="E437" s="5">
        <f>IF($C437="","",IFERROR(INDEX('DM_DiaDiemKham'!$B$2:$B$6,AGGREGATE(15,6,ROW('DM_DiaDiemKham'!$B$2:$B$6)-ROW('DM_DiaDiemKham'!$B$2)+1/ISNUMBER(SEARCH(SUBSTITUTE(UPPER($C437)," ",""),'DM_DiaDiemKham'!$C$2:$C$6)),1)),"Không tìm thấy"))</f>
        <v/>
      </c>
      <c r="G437" s="5">
        <f>IF($D437="","",IFERROR(INDEX('DM_HinhThucChiTra'!$B$2:$B$5,AGGREGATE(15,6,ROW('DM_HinhThucChiTra'!$B$2:$B$5)-ROW('DM_HinhThucChiTra'!$B$2)+1/ISNUMBER(SEARCH(SUBSTITUTE(UPPER($D437)," ",""),'DM_HinhThucChiTra'!$C$2:$C$5)),1)),"Không tìm thấy"))</f>
        <v/>
      </c>
      <c r="I437" s="5">
        <f>IF($E437="","",IFERROR(INDEX('DM_HinhThucKham'!$B$2:$B$3,AGGREGATE(15,6,ROW('DM_HinhThucKham'!$B$2:$B$3)-ROW('DM_HinhThucKham'!$B$2)+1/ISNUMBER(SEARCH(SUBSTITUTE(UPPER($E437)," ",""),'DM_HinhThucKham'!$C$2:$C$3)),1)),"Không tìm thấy"))</f>
        <v/>
      </c>
      <c r="P437" s="5">
        <f>IF($K437="","",IFERROR(INDEX('DM_DanToc'!$B$2:$B$78,AGGREGATE(15,6,ROW('DM_DanToc'!$B$2:$B$78)-ROW('DM_DanToc'!$B$2)+1/ISNUMBER(SEARCH(SUBSTITUTE(UPPER($K437)," ",""),'DM_DanToc'!$C$2:$C$78)),1)),"Không tìm thấy"))</f>
        <v/>
      </c>
      <c r="W437" s="5">
        <f>IF($Q437="","",IFERROR(INDEX('DM_TinhThanh'!$B$2:$B$35,AGGREGATE(15,6,ROW('DM_TinhThanh'!$B$2:$B$35)-ROW('DM_TinhThanh'!$B$2)+1/ISNUMBER(SEARCH(SUBSTITUTE(UPPER($Q437)," ",""),'DM_TinhThanh'!$C$2:$C$35)),1)),"Không tìm thấy"))</f>
        <v/>
      </c>
      <c r="Y437" s="5">
        <f>IF($R437="","",IFERROR(INDEX('DM_XaPhuong'!$B$2:$B$169,AGGREGATE(15,6,ROW('DM_XaPhuong'!$B$2:$B$169)-ROW('DM_XaPhuong'!$B$2)+1/ISNUMBER(SEARCH(SUBSTITUTE(UPPER($R437)," ",""),'DM_XaPhuong'!$C$2:$C$169)),1)),"Không tìm thấy"))</f>
        <v/>
      </c>
      <c r="AB437" s="5">
        <f>IF($T437="","",IFERROR(INDEX('DM_NgheNghiep'!$B$2:$B$11,AGGREGATE(15,6,ROW('DM_NgheNghiep'!$B$2:$B$11)-ROW('DM_NgheNghiep'!$B$2)+1/ISNUMBER(SEARCH(SUBSTITUTE(UPPER($T437)," ",""),'DM_NgheNghiep'!$C$2:$C$11)),1)),"Không tìm thấy"))</f>
        <v/>
      </c>
      <c r="AD437" s="5">
        <f>IF($U437="","",IFERROR(INDEX('DM_NoiCongTac'!$B$2:$B$11,AGGREGATE(15,6,ROW('DM_NoiCongTac'!$B$2:$B$11)-ROW('DM_NoiCongTac'!$B$2)+1/ISNUMBER(SEARCH(SUBSTITUTE(UPPER($U437)," ",""),'DM_NoiCongTac'!$C$2:$C$11)),1)),"Không tìm thấy"))</f>
        <v/>
      </c>
      <c r="AF437" s="5">
        <f>IF($V437="","",IFERROR(INDEX('DM_XaPhuong'!$B$2:$B$169,AGGREGATE(15,6,ROW('DM_XaPhuong'!$B$2:$B$169)-ROW('DM_XaPhuong'!$B$2)+1/ISNUMBER(SEARCH(SUBSTITUTE(UPPER($V437)," ",""),'DM_XaPhuong'!$C$2:$C$169)),1)),"Không tìm thấy"))</f>
        <v/>
      </c>
    </row>
    <row r="438">
      <c r="C438" s="5">
        <f>IF($B438="","",IFERROR(INDEX('DM_DoiTuong'!$B$2:$B$19,AGGREGATE(15,6,ROW('DM_DoiTuong'!$B$2:$B$19)-ROW('DM_DoiTuong'!$B$2)+1/ISNUMBER(SEARCH(SUBSTITUTE(UPPER($B438)," ",""),'DM_DoiTuong'!$C$2:$C$19)),1)),"Không tìm thấy"))</f>
        <v/>
      </c>
      <c r="E438" s="5">
        <f>IF($C438="","",IFERROR(INDEX('DM_DiaDiemKham'!$B$2:$B$6,AGGREGATE(15,6,ROW('DM_DiaDiemKham'!$B$2:$B$6)-ROW('DM_DiaDiemKham'!$B$2)+1/ISNUMBER(SEARCH(SUBSTITUTE(UPPER($C438)," ",""),'DM_DiaDiemKham'!$C$2:$C$6)),1)),"Không tìm thấy"))</f>
        <v/>
      </c>
      <c r="G438" s="5">
        <f>IF($D438="","",IFERROR(INDEX('DM_HinhThucChiTra'!$B$2:$B$5,AGGREGATE(15,6,ROW('DM_HinhThucChiTra'!$B$2:$B$5)-ROW('DM_HinhThucChiTra'!$B$2)+1/ISNUMBER(SEARCH(SUBSTITUTE(UPPER($D438)," ",""),'DM_HinhThucChiTra'!$C$2:$C$5)),1)),"Không tìm thấy"))</f>
        <v/>
      </c>
      <c r="I438" s="5">
        <f>IF($E438="","",IFERROR(INDEX('DM_HinhThucKham'!$B$2:$B$3,AGGREGATE(15,6,ROW('DM_HinhThucKham'!$B$2:$B$3)-ROW('DM_HinhThucKham'!$B$2)+1/ISNUMBER(SEARCH(SUBSTITUTE(UPPER($E438)," ",""),'DM_HinhThucKham'!$C$2:$C$3)),1)),"Không tìm thấy"))</f>
        <v/>
      </c>
      <c r="P438" s="5">
        <f>IF($K438="","",IFERROR(INDEX('DM_DanToc'!$B$2:$B$78,AGGREGATE(15,6,ROW('DM_DanToc'!$B$2:$B$78)-ROW('DM_DanToc'!$B$2)+1/ISNUMBER(SEARCH(SUBSTITUTE(UPPER($K438)," ",""),'DM_DanToc'!$C$2:$C$78)),1)),"Không tìm thấy"))</f>
        <v/>
      </c>
      <c r="W438" s="5">
        <f>IF($Q438="","",IFERROR(INDEX('DM_TinhThanh'!$B$2:$B$35,AGGREGATE(15,6,ROW('DM_TinhThanh'!$B$2:$B$35)-ROW('DM_TinhThanh'!$B$2)+1/ISNUMBER(SEARCH(SUBSTITUTE(UPPER($Q438)," ",""),'DM_TinhThanh'!$C$2:$C$35)),1)),"Không tìm thấy"))</f>
        <v/>
      </c>
      <c r="Y438" s="5">
        <f>IF($R438="","",IFERROR(INDEX('DM_XaPhuong'!$B$2:$B$169,AGGREGATE(15,6,ROW('DM_XaPhuong'!$B$2:$B$169)-ROW('DM_XaPhuong'!$B$2)+1/ISNUMBER(SEARCH(SUBSTITUTE(UPPER($R438)," ",""),'DM_XaPhuong'!$C$2:$C$169)),1)),"Không tìm thấy"))</f>
        <v/>
      </c>
      <c r="AB438" s="5">
        <f>IF($T438="","",IFERROR(INDEX('DM_NgheNghiep'!$B$2:$B$11,AGGREGATE(15,6,ROW('DM_NgheNghiep'!$B$2:$B$11)-ROW('DM_NgheNghiep'!$B$2)+1/ISNUMBER(SEARCH(SUBSTITUTE(UPPER($T438)," ",""),'DM_NgheNghiep'!$C$2:$C$11)),1)),"Không tìm thấy"))</f>
        <v/>
      </c>
      <c r="AD438" s="5">
        <f>IF($U438="","",IFERROR(INDEX('DM_NoiCongTac'!$B$2:$B$11,AGGREGATE(15,6,ROW('DM_NoiCongTac'!$B$2:$B$11)-ROW('DM_NoiCongTac'!$B$2)+1/ISNUMBER(SEARCH(SUBSTITUTE(UPPER($U438)," ",""),'DM_NoiCongTac'!$C$2:$C$11)),1)),"Không tìm thấy"))</f>
        <v/>
      </c>
      <c r="AF438" s="5">
        <f>IF($V438="","",IFERROR(INDEX('DM_XaPhuong'!$B$2:$B$169,AGGREGATE(15,6,ROW('DM_XaPhuong'!$B$2:$B$169)-ROW('DM_XaPhuong'!$B$2)+1/ISNUMBER(SEARCH(SUBSTITUTE(UPPER($V438)," ",""),'DM_XaPhuong'!$C$2:$C$169)),1)),"Không tìm thấy"))</f>
        <v/>
      </c>
    </row>
    <row r="439">
      <c r="C439" s="5">
        <f>IF($B439="","",IFERROR(INDEX('DM_DoiTuong'!$B$2:$B$19,AGGREGATE(15,6,ROW('DM_DoiTuong'!$B$2:$B$19)-ROW('DM_DoiTuong'!$B$2)+1/ISNUMBER(SEARCH(SUBSTITUTE(UPPER($B439)," ",""),'DM_DoiTuong'!$C$2:$C$19)),1)),"Không tìm thấy"))</f>
        <v/>
      </c>
      <c r="E439" s="5">
        <f>IF($C439="","",IFERROR(INDEX('DM_DiaDiemKham'!$B$2:$B$6,AGGREGATE(15,6,ROW('DM_DiaDiemKham'!$B$2:$B$6)-ROW('DM_DiaDiemKham'!$B$2)+1/ISNUMBER(SEARCH(SUBSTITUTE(UPPER($C439)," ",""),'DM_DiaDiemKham'!$C$2:$C$6)),1)),"Không tìm thấy"))</f>
        <v/>
      </c>
      <c r="G439" s="5">
        <f>IF($D439="","",IFERROR(INDEX('DM_HinhThucChiTra'!$B$2:$B$5,AGGREGATE(15,6,ROW('DM_HinhThucChiTra'!$B$2:$B$5)-ROW('DM_HinhThucChiTra'!$B$2)+1/ISNUMBER(SEARCH(SUBSTITUTE(UPPER($D439)," ",""),'DM_HinhThucChiTra'!$C$2:$C$5)),1)),"Không tìm thấy"))</f>
        <v/>
      </c>
      <c r="I439" s="5">
        <f>IF($E439="","",IFERROR(INDEX('DM_HinhThucKham'!$B$2:$B$3,AGGREGATE(15,6,ROW('DM_HinhThucKham'!$B$2:$B$3)-ROW('DM_HinhThucKham'!$B$2)+1/ISNUMBER(SEARCH(SUBSTITUTE(UPPER($E439)," ",""),'DM_HinhThucKham'!$C$2:$C$3)),1)),"Không tìm thấy"))</f>
        <v/>
      </c>
      <c r="P439" s="5">
        <f>IF($K439="","",IFERROR(INDEX('DM_DanToc'!$B$2:$B$78,AGGREGATE(15,6,ROW('DM_DanToc'!$B$2:$B$78)-ROW('DM_DanToc'!$B$2)+1/ISNUMBER(SEARCH(SUBSTITUTE(UPPER($K439)," ",""),'DM_DanToc'!$C$2:$C$78)),1)),"Không tìm thấy"))</f>
        <v/>
      </c>
      <c r="W439" s="5">
        <f>IF($Q439="","",IFERROR(INDEX('DM_TinhThanh'!$B$2:$B$35,AGGREGATE(15,6,ROW('DM_TinhThanh'!$B$2:$B$35)-ROW('DM_TinhThanh'!$B$2)+1/ISNUMBER(SEARCH(SUBSTITUTE(UPPER($Q439)," ",""),'DM_TinhThanh'!$C$2:$C$35)),1)),"Không tìm thấy"))</f>
        <v/>
      </c>
      <c r="Y439" s="5">
        <f>IF($R439="","",IFERROR(INDEX('DM_XaPhuong'!$B$2:$B$169,AGGREGATE(15,6,ROW('DM_XaPhuong'!$B$2:$B$169)-ROW('DM_XaPhuong'!$B$2)+1/ISNUMBER(SEARCH(SUBSTITUTE(UPPER($R439)," ",""),'DM_XaPhuong'!$C$2:$C$169)),1)),"Không tìm thấy"))</f>
        <v/>
      </c>
      <c r="AB439" s="5">
        <f>IF($T439="","",IFERROR(INDEX('DM_NgheNghiep'!$B$2:$B$11,AGGREGATE(15,6,ROW('DM_NgheNghiep'!$B$2:$B$11)-ROW('DM_NgheNghiep'!$B$2)+1/ISNUMBER(SEARCH(SUBSTITUTE(UPPER($T439)," ",""),'DM_NgheNghiep'!$C$2:$C$11)),1)),"Không tìm thấy"))</f>
        <v/>
      </c>
      <c r="AD439" s="5">
        <f>IF($U439="","",IFERROR(INDEX('DM_NoiCongTac'!$B$2:$B$11,AGGREGATE(15,6,ROW('DM_NoiCongTac'!$B$2:$B$11)-ROW('DM_NoiCongTac'!$B$2)+1/ISNUMBER(SEARCH(SUBSTITUTE(UPPER($U439)," ",""),'DM_NoiCongTac'!$C$2:$C$11)),1)),"Không tìm thấy"))</f>
        <v/>
      </c>
      <c r="AF439" s="5">
        <f>IF($V439="","",IFERROR(INDEX('DM_XaPhuong'!$B$2:$B$169,AGGREGATE(15,6,ROW('DM_XaPhuong'!$B$2:$B$169)-ROW('DM_XaPhuong'!$B$2)+1/ISNUMBER(SEARCH(SUBSTITUTE(UPPER($V439)," ",""),'DM_XaPhuong'!$C$2:$C$169)),1)),"Không tìm thấy"))</f>
        <v/>
      </c>
    </row>
    <row r="440">
      <c r="C440" s="5">
        <f>IF($B440="","",IFERROR(INDEX('DM_DoiTuong'!$B$2:$B$19,AGGREGATE(15,6,ROW('DM_DoiTuong'!$B$2:$B$19)-ROW('DM_DoiTuong'!$B$2)+1/ISNUMBER(SEARCH(SUBSTITUTE(UPPER($B440)," ",""),'DM_DoiTuong'!$C$2:$C$19)),1)),"Không tìm thấy"))</f>
        <v/>
      </c>
      <c r="E440" s="5">
        <f>IF($C440="","",IFERROR(INDEX('DM_DiaDiemKham'!$B$2:$B$6,AGGREGATE(15,6,ROW('DM_DiaDiemKham'!$B$2:$B$6)-ROW('DM_DiaDiemKham'!$B$2)+1/ISNUMBER(SEARCH(SUBSTITUTE(UPPER($C440)," ",""),'DM_DiaDiemKham'!$C$2:$C$6)),1)),"Không tìm thấy"))</f>
        <v/>
      </c>
      <c r="G440" s="5">
        <f>IF($D440="","",IFERROR(INDEX('DM_HinhThucChiTra'!$B$2:$B$5,AGGREGATE(15,6,ROW('DM_HinhThucChiTra'!$B$2:$B$5)-ROW('DM_HinhThucChiTra'!$B$2)+1/ISNUMBER(SEARCH(SUBSTITUTE(UPPER($D440)," ",""),'DM_HinhThucChiTra'!$C$2:$C$5)),1)),"Không tìm thấy"))</f>
        <v/>
      </c>
      <c r="I440" s="5">
        <f>IF($E440="","",IFERROR(INDEX('DM_HinhThucKham'!$B$2:$B$3,AGGREGATE(15,6,ROW('DM_HinhThucKham'!$B$2:$B$3)-ROW('DM_HinhThucKham'!$B$2)+1/ISNUMBER(SEARCH(SUBSTITUTE(UPPER($E440)," ",""),'DM_HinhThucKham'!$C$2:$C$3)),1)),"Không tìm thấy"))</f>
        <v/>
      </c>
      <c r="P440" s="5">
        <f>IF($K440="","",IFERROR(INDEX('DM_DanToc'!$B$2:$B$78,AGGREGATE(15,6,ROW('DM_DanToc'!$B$2:$B$78)-ROW('DM_DanToc'!$B$2)+1/ISNUMBER(SEARCH(SUBSTITUTE(UPPER($K440)," ",""),'DM_DanToc'!$C$2:$C$78)),1)),"Không tìm thấy"))</f>
        <v/>
      </c>
      <c r="W440" s="5">
        <f>IF($Q440="","",IFERROR(INDEX('DM_TinhThanh'!$B$2:$B$35,AGGREGATE(15,6,ROW('DM_TinhThanh'!$B$2:$B$35)-ROW('DM_TinhThanh'!$B$2)+1/ISNUMBER(SEARCH(SUBSTITUTE(UPPER($Q440)," ",""),'DM_TinhThanh'!$C$2:$C$35)),1)),"Không tìm thấy"))</f>
        <v/>
      </c>
      <c r="Y440" s="5">
        <f>IF($R440="","",IFERROR(INDEX('DM_XaPhuong'!$B$2:$B$169,AGGREGATE(15,6,ROW('DM_XaPhuong'!$B$2:$B$169)-ROW('DM_XaPhuong'!$B$2)+1/ISNUMBER(SEARCH(SUBSTITUTE(UPPER($R440)," ",""),'DM_XaPhuong'!$C$2:$C$169)),1)),"Không tìm thấy"))</f>
        <v/>
      </c>
      <c r="AB440" s="5">
        <f>IF($T440="","",IFERROR(INDEX('DM_NgheNghiep'!$B$2:$B$11,AGGREGATE(15,6,ROW('DM_NgheNghiep'!$B$2:$B$11)-ROW('DM_NgheNghiep'!$B$2)+1/ISNUMBER(SEARCH(SUBSTITUTE(UPPER($T440)," ",""),'DM_NgheNghiep'!$C$2:$C$11)),1)),"Không tìm thấy"))</f>
        <v/>
      </c>
      <c r="AD440" s="5">
        <f>IF($U440="","",IFERROR(INDEX('DM_NoiCongTac'!$B$2:$B$11,AGGREGATE(15,6,ROW('DM_NoiCongTac'!$B$2:$B$11)-ROW('DM_NoiCongTac'!$B$2)+1/ISNUMBER(SEARCH(SUBSTITUTE(UPPER($U440)," ",""),'DM_NoiCongTac'!$C$2:$C$11)),1)),"Không tìm thấy"))</f>
        <v/>
      </c>
      <c r="AF440" s="5">
        <f>IF($V440="","",IFERROR(INDEX('DM_XaPhuong'!$B$2:$B$169,AGGREGATE(15,6,ROW('DM_XaPhuong'!$B$2:$B$169)-ROW('DM_XaPhuong'!$B$2)+1/ISNUMBER(SEARCH(SUBSTITUTE(UPPER($V440)," ",""),'DM_XaPhuong'!$C$2:$C$169)),1)),"Không tìm thấy"))</f>
        <v/>
      </c>
    </row>
    <row r="441">
      <c r="C441" s="5">
        <f>IF($B441="","",IFERROR(INDEX('DM_DoiTuong'!$B$2:$B$19,AGGREGATE(15,6,ROW('DM_DoiTuong'!$B$2:$B$19)-ROW('DM_DoiTuong'!$B$2)+1/ISNUMBER(SEARCH(SUBSTITUTE(UPPER($B441)," ",""),'DM_DoiTuong'!$C$2:$C$19)),1)),"Không tìm thấy"))</f>
        <v/>
      </c>
      <c r="E441" s="5">
        <f>IF($C441="","",IFERROR(INDEX('DM_DiaDiemKham'!$B$2:$B$6,AGGREGATE(15,6,ROW('DM_DiaDiemKham'!$B$2:$B$6)-ROW('DM_DiaDiemKham'!$B$2)+1/ISNUMBER(SEARCH(SUBSTITUTE(UPPER($C441)," ",""),'DM_DiaDiemKham'!$C$2:$C$6)),1)),"Không tìm thấy"))</f>
        <v/>
      </c>
      <c r="G441" s="5">
        <f>IF($D441="","",IFERROR(INDEX('DM_HinhThucChiTra'!$B$2:$B$5,AGGREGATE(15,6,ROW('DM_HinhThucChiTra'!$B$2:$B$5)-ROW('DM_HinhThucChiTra'!$B$2)+1/ISNUMBER(SEARCH(SUBSTITUTE(UPPER($D441)," ",""),'DM_HinhThucChiTra'!$C$2:$C$5)),1)),"Không tìm thấy"))</f>
        <v/>
      </c>
      <c r="I441" s="5">
        <f>IF($E441="","",IFERROR(INDEX('DM_HinhThucKham'!$B$2:$B$3,AGGREGATE(15,6,ROW('DM_HinhThucKham'!$B$2:$B$3)-ROW('DM_HinhThucKham'!$B$2)+1/ISNUMBER(SEARCH(SUBSTITUTE(UPPER($E441)," ",""),'DM_HinhThucKham'!$C$2:$C$3)),1)),"Không tìm thấy"))</f>
        <v/>
      </c>
      <c r="P441" s="5">
        <f>IF($K441="","",IFERROR(INDEX('DM_DanToc'!$B$2:$B$78,AGGREGATE(15,6,ROW('DM_DanToc'!$B$2:$B$78)-ROW('DM_DanToc'!$B$2)+1/ISNUMBER(SEARCH(SUBSTITUTE(UPPER($K441)," ",""),'DM_DanToc'!$C$2:$C$78)),1)),"Không tìm thấy"))</f>
        <v/>
      </c>
      <c r="W441" s="5">
        <f>IF($Q441="","",IFERROR(INDEX('DM_TinhThanh'!$B$2:$B$35,AGGREGATE(15,6,ROW('DM_TinhThanh'!$B$2:$B$35)-ROW('DM_TinhThanh'!$B$2)+1/ISNUMBER(SEARCH(SUBSTITUTE(UPPER($Q441)," ",""),'DM_TinhThanh'!$C$2:$C$35)),1)),"Không tìm thấy"))</f>
        <v/>
      </c>
      <c r="Y441" s="5">
        <f>IF($R441="","",IFERROR(INDEX('DM_XaPhuong'!$B$2:$B$169,AGGREGATE(15,6,ROW('DM_XaPhuong'!$B$2:$B$169)-ROW('DM_XaPhuong'!$B$2)+1/ISNUMBER(SEARCH(SUBSTITUTE(UPPER($R441)," ",""),'DM_XaPhuong'!$C$2:$C$169)),1)),"Không tìm thấy"))</f>
        <v/>
      </c>
      <c r="AB441" s="5">
        <f>IF($T441="","",IFERROR(INDEX('DM_NgheNghiep'!$B$2:$B$11,AGGREGATE(15,6,ROW('DM_NgheNghiep'!$B$2:$B$11)-ROW('DM_NgheNghiep'!$B$2)+1/ISNUMBER(SEARCH(SUBSTITUTE(UPPER($T441)," ",""),'DM_NgheNghiep'!$C$2:$C$11)),1)),"Không tìm thấy"))</f>
        <v/>
      </c>
      <c r="AD441" s="5">
        <f>IF($U441="","",IFERROR(INDEX('DM_NoiCongTac'!$B$2:$B$11,AGGREGATE(15,6,ROW('DM_NoiCongTac'!$B$2:$B$11)-ROW('DM_NoiCongTac'!$B$2)+1/ISNUMBER(SEARCH(SUBSTITUTE(UPPER($U441)," ",""),'DM_NoiCongTac'!$C$2:$C$11)),1)),"Không tìm thấy"))</f>
        <v/>
      </c>
      <c r="AF441" s="5">
        <f>IF($V441="","",IFERROR(INDEX('DM_XaPhuong'!$B$2:$B$169,AGGREGATE(15,6,ROW('DM_XaPhuong'!$B$2:$B$169)-ROW('DM_XaPhuong'!$B$2)+1/ISNUMBER(SEARCH(SUBSTITUTE(UPPER($V441)," ",""),'DM_XaPhuong'!$C$2:$C$169)),1)),"Không tìm thấy"))</f>
        <v/>
      </c>
    </row>
    <row r="442">
      <c r="C442" s="5">
        <f>IF($B442="","",IFERROR(INDEX('DM_DoiTuong'!$B$2:$B$19,AGGREGATE(15,6,ROW('DM_DoiTuong'!$B$2:$B$19)-ROW('DM_DoiTuong'!$B$2)+1/ISNUMBER(SEARCH(SUBSTITUTE(UPPER($B442)," ",""),'DM_DoiTuong'!$C$2:$C$19)),1)),"Không tìm thấy"))</f>
        <v/>
      </c>
      <c r="E442" s="5">
        <f>IF($C442="","",IFERROR(INDEX('DM_DiaDiemKham'!$B$2:$B$6,AGGREGATE(15,6,ROW('DM_DiaDiemKham'!$B$2:$B$6)-ROW('DM_DiaDiemKham'!$B$2)+1/ISNUMBER(SEARCH(SUBSTITUTE(UPPER($C442)," ",""),'DM_DiaDiemKham'!$C$2:$C$6)),1)),"Không tìm thấy"))</f>
        <v/>
      </c>
      <c r="G442" s="5">
        <f>IF($D442="","",IFERROR(INDEX('DM_HinhThucChiTra'!$B$2:$B$5,AGGREGATE(15,6,ROW('DM_HinhThucChiTra'!$B$2:$B$5)-ROW('DM_HinhThucChiTra'!$B$2)+1/ISNUMBER(SEARCH(SUBSTITUTE(UPPER($D442)," ",""),'DM_HinhThucChiTra'!$C$2:$C$5)),1)),"Không tìm thấy"))</f>
        <v/>
      </c>
      <c r="I442" s="5">
        <f>IF($E442="","",IFERROR(INDEX('DM_HinhThucKham'!$B$2:$B$3,AGGREGATE(15,6,ROW('DM_HinhThucKham'!$B$2:$B$3)-ROW('DM_HinhThucKham'!$B$2)+1/ISNUMBER(SEARCH(SUBSTITUTE(UPPER($E442)," ",""),'DM_HinhThucKham'!$C$2:$C$3)),1)),"Không tìm thấy"))</f>
        <v/>
      </c>
      <c r="P442" s="5">
        <f>IF($K442="","",IFERROR(INDEX('DM_DanToc'!$B$2:$B$78,AGGREGATE(15,6,ROW('DM_DanToc'!$B$2:$B$78)-ROW('DM_DanToc'!$B$2)+1/ISNUMBER(SEARCH(SUBSTITUTE(UPPER($K442)," ",""),'DM_DanToc'!$C$2:$C$78)),1)),"Không tìm thấy"))</f>
        <v/>
      </c>
      <c r="W442" s="5">
        <f>IF($Q442="","",IFERROR(INDEX('DM_TinhThanh'!$B$2:$B$35,AGGREGATE(15,6,ROW('DM_TinhThanh'!$B$2:$B$35)-ROW('DM_TinhThanh'!$B$2)+1/ISNUMBER(SEARCH(SUBSTITUTE(UPPER($Q442)," ",""),'DM_TinhThanh'!$C$2:$C$35)),1)),"Không tìm thấy"))</f>
        <v/>
      </c>
      <c r="Y442" s="5">
        <f>IF($R442="","",IFERROR(INDEX('DM_XaPhuong'!$B$2:$B$169,AGGREGATE(15,6,ROW('DM_XaPhuong'!$B$2:$B$169)-ROW('DM_XaPhuong'!$B$2)+1/ISNUMBER(SEARCH(SUBSTITUTE(UPPER($R442)," ",""),'DM_XaPhuong'!$C$2:$C$169)),1)),"Không tìm thấy"))</f>
        <v/>
      </c>
      <c r="AB442" s="5">
        <f>IF($T442="","",IFERROR(INDEX('DM_NgheNghiep'!$B$2:$B$11,AGGREGATE(15,6,ROW('DM_NgheNghiep'!$B$2:$B$11)-ROW('DM_NgheNghiep'!$B$2)+1/ISNUMBER(SEARCH(SUBSTITUTE(UPPER($T442)," ",""),'DM_NgheNghiep'!$C$2:$C$11)),1)),"Không tìm thấy"))</f>
        <v/>
      </c>
      <c r="AD442" s="5">
        <f>IF($U442="","",IFERROR(INDEX('DM_NoiCongTac'!$B$2:$B$11,AGGREGATE(15,6,ROW('DM_NoiCongTac'!$B$2:$B$11)-ROW('DM_NoiCongTac'!$B$2)+1/ISNUMBER(SEARCH(SUBSTITUTE(UPPER($U442)," ",""),'DM_NoiCongTac'!$C$2:$C$11)),1)),"Không tìm thấy"))</f>
        <v/>
      </c>
      <c r="AF442" s="5">
        <f>IF($V442="","",IFERROR(INDEX('DM_XaPhuong'!$B$2:$B$169,AGGREGATE(15,6,ROW('DM_XaPhuong'!$B$2:$B$169)-ROW('DM_XaPhuong'!$B$2)+1/ISNUMBER(SEARCH(SUBSTITUTE(UPPER($V442)," ",""),'DM_XaPhuong'!$C$2:$C$169)),1)),"Không tìm thấy"))</f>
        <v/>
      </c>
    </row>
    <row r="443">
      <c r="C443" s="5">
        <f>IF($B443="","",IFERROR(INDEX('DM_DoiTuong'!$B$2:$B$19,AGGREGATE(15,6,ROW('DM_DoiTuong'!$B$2:$B$19)-ROW('DM_DoiTuong'!$B$2)+1/ISNUMBER(SEARCH(SUBSTITUTE(UPPER($B443)," ",""),'DM_DoiTuong'!$C$2:$C$19)),1)),"Không tìm thấy"))</f>
        <v/>
      </c>
      <c r="E443" s="5">
        <f>IF($C443="","",IFERROR(INDEX('DM_DiaDiemKham'!$B$2:$B$6,AGGREGATE(15,6,ROW('DM_DiaDiemKham'!$B$2:$B$6)-ROW('DM_DiaDiemKham'!$B$2)+1/ISNUMBER(SEARCH(SUBSTITUTE(UPPER($C443)," ",""),'DM_DiaDiemKham'!$C$2:$C$6)),1)),"Không tìm thấy"))</f>
        <v/>
      </c>
      <c r="G443" s="5">
        <f>IF($D443="","",IFERROR(INDEX('DM_HinhThucChiTra'!$B$2:$B$5,AGGREGATE(15,6,ROW('DM_HinhThucChiTra'!$B$2:$B$5)-ROW('DM_HinhThucChiTra'!$B$2)+1/ISNUMBER(SEARCH(SUBSTITUTE(UPPER($D443)," ",""),'DM_HinhThucChiTra'!$C$2:$C$5)),1)),"Không tìm thấy"))</f>
        <v/>
      </c>
      <c r="I443" s="5">
        <f>IF($E443="","",IFERROR(INDEX('DM_HinhThucKham'!$B$2:$B$3,AGGREGATE(15,6,ROW('DM_HinhThucKham'!$B$2:$B$3)-ROW('DM_HinhThucKham'!$B$2)+1/ISNUMBER(SEARCH(SUBSTITUTE(UPPER($E443)," ",""),'DM_HinhThucKham'!$C$2:$C$3)),1)),"Không tìm thấy"))</f>
        <v/>
      </c>
      <c r="P443" s="5">
        <f>IF($K443="","",IFERROR(INDEX('DM_DanToc'!$B$2:$B$78,AGGREGATE(15,6,ROW('DM_DanToc'!$B$2:$B$78)-ROW('DM_DanToc'!$B$2)+1/ISNUMBER(SEARCH(SUBSTITUTE(UPPER($K443)," ",""),'DM_DanToc'!$C$2:$C$78)),1)),"Không tìm thấy"))</f>
        <v/>
      </c>
      <c r="W443" s="5">
        <f>IF($Q443="","",IFERROR(INDEX('DM_TinhThanh'!$B$2:$B$35,AGGREGATE(15,6,ROW('DM_TinhThanh'!$B$2:$B$35)-ROW('DM_TinhThanh'!$B$2)+1/ISNUMBER(SEARCH(SUBSTITUTE(UPPER($Q443)," ",""),'DM_TinhThanh'!$C$2:$C$35)),1)),"Không tìm thấy"))</f>
        <v/>
      </c>
      <c r="Y443" s="5">
        <f>IF($R443="","",IFERROR(INDEX('DM_XaPhuong'!$B$2:$B$169,AGGREGATE(15,6,ROW('DM_XaPhuong'!$B$2:$B$169)-ROW('DM_XaPhuong'!$B$2)+1/ISNUMBER(SEARCH(SUBSTITUTE(UPPER($R443)," ",""),'DM_XaPhuong'!$C$2:$C$169)),1)),"Không tìm thấy"))</f>
        <v/>
      </c>
      <c r="AB443" s="5">
        <f>IF($T443="","",IFERROR(INDEX('DM_NgheNghiep'!$B$2:$B$11,AGGREGATE(15,6,ROW('DM_NgheNghiep'!$B$2:$B$11)-ROW('DM_NgheNghiep'!$B$2)+1/ISNUMBER(SEARCH(SUBSTITUTE(UPPER($T443)," ",""),'DM_NgheNghiep'!$C$2:$C$11)),1)),"Không tìm thấy"))</f>
        <v/>
      </c>
      <c r="AD443" s="5">
        <f>IF($U443="","",IFERROR(INDEX('DM_NoiCongTac'!$B$2:$B$11,AGGREGATE(15,6,ROW('DM_NoiCongTac'!$B$2:$B$11)-ROW('DM_NoiCongTac'!$B$2)+1/ISNUMBER(SEARCH(SUBSTITUTE(UPPER($U443)," ",""),'DM_NoiCongTac'!$C$2:$C$11)),1)),"Không tìm thấy"))</f>
        <v/>
      </c>
      <c r="AF443" s="5">
        <f>IF($V443="","",IFERROR(INDEX('DM_XaPhuong'!$B$2:$B$169,AGGREGATE(15,6,ROW('DM_XaPhuong'!$B$2:$B$169)-ROW('DM_XaPhuong'!$B$2)+1/ISNUMBER(SEARCH(SUBSTITUTE(UPPER($V443)," ",""),'DM_XaPhuong'!$C$2:$C$169)),1)),"Không tìm thấy"))</f>
        <v/>
      </c>
    </row>
    <row r="444">
      <c r="C444" s="5">
        <f>IF($B444="","",IFERROR(INDEX('DM_DoiTuong'!$B$2:$B$19,AGGREGATE(15,6,ROW('DM_DoiTuong'!$B$2:$B$19)-ROW('DM_DoiTuong'!$B$2)+1/ISNUMBER(SEARCH(SUBSTITUTE(UPPER($B444)," ",""),'DM_DoiTuong'!$C$2:$C$19)),1)),"Không tìm thấy"))</f>
        <v/>
      </c>
      <c r="E444" s="5">
        <f>IF($C444="","",IFERROR(INDEX('DM_DiaDiemKham'!$B$2:$B$6,AGGREGATE(15,6,ROW('DM_DiaDiemKham'!$B$2:$B$6)-ROW('DM_DiaDiemKham'!$B$2)+1/ISNUMBER(SEARCH(SUBSTITUTE(UPPER($C444)," ",""),'DM_DiaDiemKham'!$C$2:$C$6)),1)),"Không tìm thấy"))</f>
        <v/>
      </c>
      <c r="G444" s="5">
        <f>IF($D444="","",IFERROR(INDEX('DM_HinhThucChiTra'!$B$2:$B$5,AGGREGATE(15,6,ROW('DM_HinhThucChiTra'!$B$2:$B$5)-ROW('DM_HinhThucChiTra'!$B$2)+1/ISNUMBER(SEARCH(SUBSTITUTE(UPPER($D444)," ",""),'DM_HinhThucChiTra'!$C$2:$C$5)),1)),"Không tìm thấy"))</f>
        <v/>
      </c>
      <c r="I444" s="5">
        <f>IF($E444="","",IFERROR(INDEX('DM_HinhThucKham'!$B$2:$B$3,AGGREGATE(15,6,ROW('DM_HinhThucKham'!$B$2:$B$3)-ROW('DM_HinhThucKham'!$B$2)+1/ISNUMBER(SEARCH(SUBSTITUTE(UPPER($E444)," ",""),'DM_HinhThucKham'!$C$2:$C$3)),1)),"Không tìm thấy"))</f>
        <v/>
      </c>
      <c r="P444" s="5">
        <f>IF($K444="","",IFERROR(INDEX('DM_DanToc'!$B$2:$B$78,AGGREGATE(15,6,ROW('DM_DanToc'!$B$2:$B$78)-ROW('DM_DanToc'!$B$2)+1/ISNUMBER(SEARCH(SUBSTITUTE(UPPER($K444)," ",""),'DM_DanToc'!$C$2:$C$78)),1)),"Không tìm thấy"))</f>
        <v/>
      </c>
      <c r="W444" s="5">
        <f>IF($Q444="","",IFERROR(INDEX('DM_TinhThanh'!$B$2:$B$35,AGGREGATE(15,6,ROW('DM_TinhThanh'!$B$2:$B$35)-ROW('DM_TinhThanh'!$B$2)+1/ISNUMBER(SEARCH(SUBSTITUTE(UPPER($Q444)," ",""),'DM_TinhThanh'!$C$2:$C$35)),1)),"Không tìm thấy"))</f>
        <v/>
      </c>
      <c r="Y444" s="5">
        <f>IF($R444="","",IFERROR(INDEX('DM_XaPhuong'!$B$2:$B$169,AGGREGATE(15,6,ROW('DM_XaPhuong'!$B$2:$B$169)-ROW('DM_XaPhuong'!$B$2)+1/ISNUMBER(SEARCH(SUBSTITUTE(UPPER($R444)," ",""),'DM_XaPhuong'!$C$2:$C$169)),1)),"Không tìm thấy"))</f>
        <v/>
      </c>
      <c r="AB444" s="5">
        <f>IF($T444="","",IFERROR(INDEX('DM_NgheNghiep'!$B$2:$B$11,AGGREGATE(15,6,ROW('DM_NgheNghiep'!$B$2:$B$11)-ROW('DM_NgheNghiep'!$B$2)+1/ISNUMBER(SEARCH(SUBSTITUTE(UPPER($T444)," ",""),'DM_NgheNghiep'!$C$2:$C$11)),1)),"Không tìm thấy"))</f>
        <v/>
      </c>
      <c r="AD444" s="5">
        <f>IF($U444="","",IFERROR(INDEX('DM_NoiCongTac'!$B$2:$B$11,AGGREGATE(15,6,ROW('DM_NoiCongTac'!$B$2:$B$11)-ROW('DM_NoiCongTac'!$B$2)+1/ISNUMBER(SEARCH(SUBSTITUTE(UPPER($U444)," ",""),'DM_NoiCongTac'!$C$2:$C$11)),1)),"Không tìm thấy"))</f>
        <v/>
      </c>
      <c r="AF444" s="5">
        <f>IF($V444="","",IFERROR(INDEX('DM_XaPhuong'!$B$2:$B$169,AGGREGATE(15,6,ROW('DM_XaPhuong'!$B$2:$B$169)-ROW('DM_XaPhuong'!$B$2)+1/ISNUMBER(SEARCH(SUBSTITUTE(UPPER($V444)," ",""),'DM_XaPhuong'!$C$2:$C$169)),1)),"Không tìm thấy"))</f>
        <v/>
      </c>
    </row>
    <row r="445">
      <c r="C445" s="5">
        <f>IF($B445="","",IFERROR(INDEX('DM_DoiTuong'!$B$2:$B$19,AGGREGATE(15,6,ROW('DM_DoiTuong'!$B$2:$B$19)-ROW('DM_DoiTuong'!$B$2)+1/ISNUMBER(SEARCH(SUBSTITUTE(UPPER($B445)," ",""),'DM_DoiTuong'!$C$2:$C$19)),1)),"Không tìm thấy"))</f>
        <v/>
      </c>
      <c r="E445" s="5">
        <f>IF($C445="","",IFERROR(INDEX('DM_DiaDiemKham'!$B$2:$B$6,AGGREGATE(15,6,ROW('DM_DiaDiemKham'!$B$2:$B$6)-ROW('DM_DiaDiemKham'!$B$2)+1/ISNUMBER(SEARCH(SUBSTITUTE(UPPER($C445)," ",""),'DM_DiaDiemKham'!$C$2:$C$6)),1)),"Không tìm thấy"))</f>
        <v/>
      </c>
      <c r="G445" s="5">
        <f>IF($D445="","",IFERROR(INDEX('DM_HinhThucChiTra'!$B$2:$B$5,AGGREGATE(15,6,ROW('DM_HinhThucChiTra'!$B$2:$B$5)-ROW('DM_HinhThucChiTra'!$B$2)+1/ISNUMBER(SEARCH(SUBSTITUTE(UPPER($D445)," ",""),'DM_HinhThucChiTra'!$C$2:$C$5)),1)),"Không tìm thấy"))</f>
        <v/>
      </c>
      <c r="I445" s="5">
        <f>IF($E445="","",IFERROR(INDEX('DM_HinhThucKham'!$B$2:$B$3,AGGREGATE(15,6,ROW('DM_HinhThucKham'!$B$2:$B$3)-ROW('DM_HinhThucKham'!$B$2)+1/ISNUMBER(SEARCH(SUBSTITUTE(UPPER($E445)," ",""),'DM_HinhThucKham'!$C$2:$C$3)),1)),"Không tìm thấy"))</f>
        <v/>
      </c>
      <c r="P445" s="5">
        <f>IF($K445="","",IFERROR(INDEX('DM_DanToc'!$B$2:$B$78,AGGREGATE(15,6,ROW('DM_DanToc'!$B$2:$B$78)-ROW('DM_DanToc'!$B$2)+1/ISNUMBER(SEARCH(SUBSTITUTE(UPPER($K445)," ",""),'DM_DanToc'!$C$2:$C$78)),1)),"Không tìm thấy"))</f>
        <v/>
      </c>
      <c r="W445" s="5">
        <f>IF($Q445="","",IFERROR(INDEX('DM_TinhThanh'!$B$2:$B$35,AGGREGATE(15,6,ROW('DM_TinhThanh'!$B$2:$B$35)-ROW('DM_TinhThanh'!$B$2)+1/ISNUMBER(SEARCH(SUBSTITUTE(UPPER($Q445)," ",""),'DM_TinhThanh'!$C$2:$C$35)),1)),"Không tìm thấy"))</f>
        <v/>
      </c>
      <c r="Y445" s="5">
        <f>IF($R445="","",IFERROR(INDEX('DM_XaPhuong'!$B$2:$B$169,AGGREGATE(15,6,ROW('DM_XaPhuong'!$B$2:$B$169)-ROW('DM_XaPhuong'!$B$2)+1/ISNUMBER(SEARCH(SUBSTITUTE(UPPER($R445)," ",""),'DM_XaPhuong'!$C$2:$C$169)),1)),"Không tìm thấy"))</f>
        <v/>
      </c>
      <c r="AB445" s="5">
        <f>IF($T445="","",IFERROR(INDEX('DM_NgheNghiep'!$B$2:$B$11,AGGREGATE(15,6,ROW('DM_NgheNghiep'!$B$2:$B$11)-ROW('DM_NgheNghiep'!$B$2)+1/ISNUMBER(SEARCH(SUBSTITUTE(UPPER($T445)," ",""),'DM_NgheNghiep'!$C$2:$C$11)),1)),"Không tìm thấy"))</f>
        <v/>
      </c>
      <c r="AD445" s="5">
        <f>IF($U445="","",IFERROR(INDEX('DM_NoiCongTac'!$B$2:$B$11,AGGREGATE(15,6,ROW('DM_NoiCongTac'!$B$2:$B$11)-ROW('DM_NoiCongTac'!$B$2)+1/ISNUMBER(SEARCH(SUBSTITUTE(UPPER($U445)," ",""),'DM_NoiCongTac'!$C$2:$C$11)),1)),"Không tìm thấy"))</f>
        <v/>
      </c>
      <c r="AF445" s="5">
        <f>IF($V445="","",IFERROR(INDEX('DM_XaPhuong'!$B$2:$B$169,AGGREGATE(15,6,ROW('DM_XaPhuong'!$B$2:$B$169)-ROW('DM_XaPhuong'!$B$2)+1/ISNUMBER(SEARCH(SUBSTITUTE(UPPER($V445)," ",""),'DM_XaPhuong'!$C$2:$C$169)),1)),"Không tìm thấy"))</f>
        <v/>
      </c>
    </row>
    <row r="446">
      <c r="C446" s="5">
        <f>IF($B446="","",IFERROR(INDEX('DM_DoiTuong'!$B$2:$B$19,AGGREGATE(15,6,ROW('DM_DoiTuong'!$B$2:$B$19)-ROW('DM_DoiTuong'!$B$2)+1/ISNUMBER(SEARCH(SUBSTITUTE(UPPER($B446)," ",""),'DM_DoiTuong'!$C$2:$C$19)),1)),"Không tìm thấy"))</f>
        <v/>
      </c>
      <c r="E446" s="5">
        <f>IF($C446="","",IFERROR(INDEX('DM_DiaDiemKham'!$B$2:$B$6,AGGREGATE(15,6,ROW('DM_DiaDiemKham'!$B$2:$B$6)-ROW('DM_DiaDiemKham'!$B$2)+1/ISNUMBER(SEARCH(SUBSTITUTE(UPPER($C446)," ",""),'DM_DiaDiemKham'!$C$2:$C$6)),1)),"Không tìm thấy"))</f>
        <v/>
      </c>
      <c r="G446" s="5">
        <f>IF($D446="","",IFERROR(INDEX('DM_HinhThucChiTra'!$B$2:$B$5,AGGREGATE(15,6,ROW('DM_HinhThucChiTra'!$B$2:$B$5)-ROW('DM_HinhThucChiTra'!$B$2)+1/ISNUMBER(SEARCH(SUBSTITUTE(UPPER($D446)," ",""),'DM_HinhThucChiTra'!$C$2:$C$5)),1)),"Không tìm thấy"))</f>
        <v/>
      </c>
      <c r="I446" s="5">
        <f>IF($E446="","",IFERROR(INDEX('DM_HinhThucKham'!$B$2:$B$3,AGGREGATE(15,6,ROW('DM_HinhThucKham'!$B$2:$B$3)-ROW('DM_HinhThucKham'!$B$2)+1/ISNUMBER(SEARCH(SUBSTITUTE(UPPER($E446)," ",""),'DM_HinhThucKham'!$C$2:$C$3)),1)),"Không tìm thấy"))</f>
        <v/>
      </c>
      <c r="P446" s="5">
        <f>IF($K446="","",IFERROR(INDEX('DM_DanToc'!$B$2:$B$78,AGGREGATE(15,6,ROW('DM_DanToc'!$B$2:$B$78)-ROW('DM_DanToc'!$B$2)+1/ISNUMBER(SEARCH(SUBSTITUTE(UPPER($K446)," ",""),'DM_DanToc'!$C$2:$C$78)),1)),"Không tìm thấy"))</f>
        <v/>
      </c>
      <c r="W446" s="5">
        <f>IF($Q446="","",IFERROR(INDEX('DM_TinhThanh'!$B$2:$B$35,AGGREGATE(15,6,ROW('DM_TinhThanh'!$B$2:$B$35)-ROW('DM_TinhThanh'!$B$2)+1/ISNUMBER(SEARCH(SUBSTITUTE(UPPER($Q446)," ",""),'DM_TinhThanh'!$C$2:$C$35)),1)),"Không tìm thấy"))</f>
        <v/>
      </c>
      <c r="Y446" s="5">
        <f>IF($R446="","",IFERROR(INDEX('DM_XaPhuong'!$B$2:$B$169,AGGREGATE(15,6,ROW('DM_XaPhuong'!$B$2:$B$169)-ROW('DM_XaPhuong'!$B$2)+1/ISNUMBER(SEARCH(SUBSTITUTE(UPPER($R446)," ",""),'DM_XaPhuong'!$C$2:$C$169)),1)),"Không tìm thấy"))</f>
        <v/>
      </c>
      <c r="AB446" s="5">
        <f>IF($T446="","",IFERROR(INDEX('DM_NgheNghiep'!$B$2:$B$11,AGGREGATE(15,6,ROW('DM_NgheNghiep'!$B$2:$B$11)-ROW('DM_NgheNghiep'!$B$2)+1/ISNUMBER(SEARCH(SUBSTITUTE(UPPER($T446)," ",""),'DM_NgheNghiep'!$C$2:$C$11)),1)),"Không tìm thấy"))</f>
        <v/>
      </c>
      <c r="AD446" s="5">
        <f>IF($U446="","",IFERROR(INDEX('DM_NoiCongTac'!$B$2:$B$11,AGGREGATE(15,6,ROW('DM_NoiCongTac'!$B$2:$B$11)-ROW('DM_NoiCongTac'!$B$2)+1/ISNUMBER(SEARCH(SUBSTITUTE(UPPER($U446)," ",""),'DM_NoiCongTac'!$C$2:$C$11)),1)),"Không tìm thấy"))</f>
        <v/>
      </c>
      <c r="AF446" s="5">
        <f>IF($V446="","",IFERROR(INDEX('DM_XaPhuong'!$B$2:$B$169,AGGREGATE(15,6,ROW('DM_XaPhuong'!$B$2:$B$169)-ROW('DM_XaPhuong'!$B$2)+1/ISNUMBER(SEARCH(SUBSTITUTE(UPPER($V446)," ",""),'DM_XaPhuong'!$C$2:$C$169)),1)),"Không tìm thấy"))</f>
        <v/>
      </c>
    </row>
    <row r="447">
      <c r="C447" s="5">
        <f>IF($B447="","",IFERROR(INDEX('DM_DoiTuong'!$B$2:$B$19,AGGREGATE(15,6,ROW('DM_DoiTuong'!$B$2:$B$19)-ROW('DM_DoiTuong'!$B$2)+1/ISNUMBER(SEARCH(SUBSTITUTE(UPPER($B447)," ",""),'DM_DoiTuong'!$C$2:$C$19)),1)),"Không tìm thấy"))</f>
        <v/>
      </c>
      <c r="E447" s="5">
        <f>IF($C447="","",IFERROR(INDEX('DM_DiaDiemKham'!$B$2:$B$6,AGGREGATE(15,6,ROW('DM_DiaDiemKham'!$B$2:$B$6)-ROW('DM_DiaDiemKham'!$B$2)+1/ISNUMBER(SEARCH(SUBSTITUTE(UPPER($C447)," ",""),'DM_DiaDiemKham'!$C$2:$C$6)),1)),"Không tìm thấy"))</f>
        <v/>
      </c>
      <c r="G447" s="5">
        <f>IF($D447="","",IFERROR(INDEX('DM_HinhThucChiTra'!$B$2:$B$5,AGGREGATE(15,6,ROW('DM_HinhThucChiTra'!$B$2:$B$5)-ROW('DM_HinhThucChiTra'!$B$2)+1/ISNUMBER(SEARCH(SUBSTITUTE(UPPER($D447)," ",""),'DM_HinhThucChiTra'!$C$2:$C$5)),1)),"Không tìm thấy"))</f>
        <v/>
      </c>
      <c r="I447" s="5">
        <f>IF($E447="","",IFERROR(INDEX('DM_HinhThucKham'!$B$2:$B$3,AGGREGATE(15,6,ROW('DM_HinhThucKham'!$B$2:$B$3)-ROW('DM_HinhThucKham'!$B$2)+1/ISNUMBER(SEARCH(SUBSTITUTE(UPPER($E447)," ",""),'DM_HinhThucKham'!$C$2:$C$3)),1)),"Không tìm thấy"))</f>
        <v/>
      </c>
      <c r="P447" s="5">
        <f>IF($K447="","",IFERROR(INDEX('DM_DanToc'!$B$2:$B$78,AGGREGATE(15,6,ROW('DM_DanToc'!$B$2:$B$78)-ROW('DM_DanToc'!$B$2)+1/ISNUMBER(SEARCH(SUBSTITUTE(UPPER($K447)," ",""),'DM_DanToc'!$C$2:$C$78)),1)),"Không tìm thấy"))</f>
        <v/>
      </c>
      <c r="W447" s="5">
        <f>IF($Q447="","",IFERROR(INDEX('DM_TinhThanh'!$B$2:$B$35,AGGREGATE(15,6,ROW('DM_TinhThanh'!$B$2:$B$35)-ROW('DM_TinhThanh'!$B$2)+1/ISNUMBER(SEARCH(SUBSTITUTE(UPPER($Q447)," ",""),'DM_TinhThanh'!$C$2:$C$35)),1)),"Không tìm thấy"))</f>
        <v/>
      </c>
      <c r="Y447" s="5">
        <f>IF($R447="","",IFERROR(INDEX('DM_XaPhuong'!$B$2:$B$169,AGGREGATE(15,6,ROW('DM_XaPhuong'!$B$2:$B$169)-ROW('DM_XaPhuong'!$B$2)+1/ISNUMBER(SEARCH(SUBSTITUTE(UPPER($R447)," ",""),'DM_XaPhuong'!$C$2:$C$169)),1)),"Không tìm thấy"))</f>
        <v/>
      </c>
      <c r="AB447" s="5">
        <f>IF($T447="","",IFERROR(INDEX('DM_NgheNghiep'!$B$2:$B$11,AGGREGATE(15,6,ROW('DM_NgheNghiep'!$B$2:$B$11)-ROW('DM_NgheNghiep'!$B$2)+1/ISNUMBER(SEARCH(SUBSTITUTE(UPPER($T447)," ",""),'DM_NgheNghiep'!$C$2:$C$11)),1)),"Không tìm thấy"))</f>
        <v/>
      </c>
      <c r="AD447" s="5">
        <f>IF($U447="","",IFERROR(INDEX('DM_NoiCongTac'!$B$2:$B$11,AGGREGATE(15,6,ROW('DM_NoiCongTac'!$B$2:$B$11)-ROW('DM_NoiCongTac'!$B$2)+1/ISNUMBER(SEARCH(SUBSTITUTE(UPPER($U447)," ",""),'DM_NoiCongTac'!$C$2:$C$11)),1)),"Không tìm thấy"))</f>
        <v/>
      </c>
      <c r="AF447" s="5">
        <f>IF($V447="","",IFERROR(INDEX('DM_XaPhuong'!$B$2:$B$169,AGGREGATE(15,6,ROW('DM_XaPhuong'!$B$2:$B$169)-ROW('DM_XaPhuong'!$B$2)+1/ISNUMBER(SEARCH(SUBSTITUTE(UPPER($V447)," ",""),'DM_XaPhuong'!$C$2:$C$169)),1)),"Không tìm thấy"))</f>
        <v/>
      </c>
    </row>
    <row r="448">
      <c r="C448" s="5">
        <f>IF($B448="","",IFERROR(INDEX('DM_DoiTuong'!$B$2:$B$19,AGGREGATE(15,6,ROW('DM_DoiTuong'!$B$2:$B$19)-ROW('DM_DoiTuong'!$B$2)+1/ISNUMBER(SEARCH(SUBSTITUTE(UPPER($B448)," ",""),'DM_DoiTuong'!$C$2:$C$19)),1)),"Không tìm thấy"))</f>
        <v/>
      </c>
      <c r="E448" s="5">
        <f>IF($C448="","",IFERROR(INDEX('DM_DiaDiemKham'!$B$2:$B$6,AGGREGATE(15,6,ROW('DM_DiaDiemKham'!$B$2:$B$6)-ROW('DM_DiaDiemKham'!$B$2)+1/ISNUMBER(SEARCH(SUBSTITUTE(UPPER($C448)," ",""),'DM_DiaDiemKham'!$C$2:$C$6)),1)),"Không tìm thấy"))</f>
        <v/>
      </c>
      <c r="G448" s="5">
        <f>IF($D448="","",IFERROR(INDEX('DM_HinhThucChiTra'!$B$2:$B$5,AGGREGATE(15,6,ROW('DM_HinhThucChiTra'!$B$2:$B$5)-ROW('DM_HinhThucChiTra'!$B$2)+1/ISNUMBER(SEARCH(SUBSTITUTE(UPPER($D448)," ",""),'DM_HinhThucChiTra'!$C$2:$C$5)),1)),"Không tìm thấy"))</f>
        <v/>
      </c>
      <c r="I448" s="5">
        <f>IF($E448="","",IFERROR(INDEX('DM_HinhThucKham'!$B$2:$B$3,AGGREGATE(15,6,ROW('DM_HinhThucKham'!$B$2:$B$3)-ROW('DM_HinhThucKham'!$B$2)+1/ISNUMBER(SEARCH(SUBSTITUTE(UPPER($E448)," ",""),'DM_HinhThucKham'!$C$2:$C$3)),1)),"Không tìm thấy"))</f>
        <v/>
      </c>
      <c r="P448" s="5">
        <f>IF($K448="","",IFERROR(INDEX('DM_DanToc'!$B$2:$B$78,AGGREGATE(15,6,ROW('DM_DanToc'!$B$2:$B$78)-ROW('DM_DanToc'!$B$2)+1/ISNUMBER(SEARCH(SUBSTITUTE(UPPER($K448)," ",""),'DM_DanToc'!$C$2:$C$78)),1)),"Không tìm thấy"))</f>
        <v/>
      </c>
      <c r="W448" s="5">
        <f>IF($Q448="","",IFERROR(INDEX('DM_TinhThanh'!$B$2:$B$35,AGGREGATE(15,6,ROW('DM_TinhThanh'!$B$2:$B$35)-ROW('DM_TinhThanh'!$B$2)+1/ISNUMBER(SEARCH(SUBSTITUTE(UPPER($Q448)," ",""),'DM_TinhThanh'!$C$2:$C$35)),1)),"Không tìm thấy"))</f>
        <v/>
      </c>
      <c r="Y448" s="5">
        <f>IF($R448="","",IFERROR(INDEX('DM_XaPhuong'!$B$2:$B$169,AGGREGATE(15,6,ROW('DM_XaPhuong'!$B$2:$B$169)-ROW('DM_XaPhuong'!$B$2)+1/ISNUMBER(SEARCH(SUBSTITUTE(UPPER($R448)," ",""),'DM_XaPhuong'!$C$2:$C$169)),1)),"Không tìm thấy"))</f>
        <v/>
      </c>
      <c r="AB448" s="5">
        <f>IF($T448="","",IFERROR(INDEX('DM_NgheNghiep'!$B$2:$B$11,AGGREGATE(15,6,ROW('DM_NgheNghiep'!$B$2:$B$11)-ROW('DM_NgheNghiep'!$B$2)+1/ISNUMBER(SEARCH(SUBSTITUTE(UPPER($T448)," ",""),'DM_NgheNghiep'!$C$2:$C$11)),1)),"Không tìm thấy"))</f>
        <v/>
      </c>
      <c r="AD448" s="5">
        <f>IF($U448="","",IFERROR(INDEX('DM_NoiCongTac'!$B$2:$B$11,AGGREGATE(15,6,ROW('DM_NoiCongTac'!$B$2:$B$11)-ROW('DM_NoiCongTac'!$B$2)+1/ISNUMBER(SEARCH(SUBSTITUTE(UPPER($U448)," ",""),'DM_NoiCongTac'!$C$2:$C$11)),1)),"Không tìm thấy"))</f>
        <v/>
      </c>
      <c r="AF448" s="5">
        <f>IF($V448="","",IFERROR(INDEX('DM_XaPhuong'!$B$2:$B$169,AGGREGATE(15,6,ROW('DM_XaPhuong'!$B$2:$B$169)-ROW('DM_XaPhuong'!$B$2)+1/ISNUMBER(SEARCH(SUBSTITUTE(UPPER($V448)," ",""),'DM_XaPhuong'!$C$2:$C$169)),1)),"Không tìm thấy"))</f>
        <v/>
      </c>
    </row>
    <row r="449">
      <c r="C449" s="5">
        <f>IF($B449="","",IFERROR(INDEX('DM_DoiTuong'!$B$2:$B$19,AGGREGATE(15,6,ROW('DM_DoiTuong'!$B$2:$B$19)-ROW('DM_DoiTuong'!$B$2)+1/ISNUMBER(SEARCH(SUBSTITUTE(UPPER($B449)," ",""),'DM_DoiTuong'!$C$2:$C$19)),1)),"Không tìm thấy"))</f>
        <v/>
      </c>
      <c r="E449" s="5">
        <f>IF($C449="","",IFERROR(INDEX('DM_DiaDiemKham'!$B$2:$B$6,AGGREGATE(15,6,ROW('DM_DiaDiemKham'!$B$2:$B$6)-ROW('DM_DiaDiemKham'!$B$2)+1/ISNUMBER(SEARCH(SUBSTITUTE(UPPER($C449)," ",""),'DM_DiaDiemKham'!$C$2:$C$6)),1)),"Không tìm thấy"))</f>
        <v/>
      </c>
      <c r="G449" s="5">
        <f>IF($D449="","",IFERROR(INDEX('DM_HinhThucChiTra'!$B$2:$B$5,AGGREGATE(15,6,ROW('DM_HinhThucChiTra'!$B$2:$B$5)-ROW('DM_HinhThucChiTra'!$B$2)+1/ISNUMBER(SEARCH(SUBSTITUTE(UPPER($D449)," ",""),'DM_HinhThucChiTra'!$C$2:$C$5)),1)),"Không tìm thấy"))</f>
        <v/>
      </c>
      <c r="I449" s="5">
        <f>IF($E449="","",IFERROR(INDEX('DM_HinhThucKham'!$B$2:$B$3,AGGREGATE(15,6,ROW('DM_HinhThucKham'!$B$2:$B$3)-ROW('DM_HinhThucKham'!$B$2)+1/ISNUMBER(SEARCH(SUBSTITUTE(UPPER($E449)," ",""),'DM_HinhThucKham'!$C$2:$C$3)),1)),"Không tìm thấy"))</f>
        <v/>
      </c>
      <c r="P449" s="5">
        <f>IF($K449="","",IFERROR(INDEX('DM_DanToc'!$B$2:$B$78,AGGREGATE(15,6,ROW('DM_DanToc'!$B$2:$B$78)-ROW('DM_DanToc'!$B$2)+1/ISNUMBER(SEARCH(SUBSTITUTE(UPPER($K449)," ",""),'DM_DanToc'!$C$2:$C$78)),1)),"Không tìm thấy"))</f>
        <v/>
      </c>
      <c r="W449" s="5">
        <f>IF($Q449="","",IFERROR(INDEX('DM_TinhThanh'!$B$2:$B$35,AGGREGATE(15,6,ROW('DM_TinhThanh'!$B$2:$B$35)-ROW('DM_TinhThanh'!$B$2)+1/ISNUMBER(SEARCH(SUBSTITUTE(UPPER($Q449)," ",""),'DM_TinhThanh'!$C$2:$C$35)),1)),"Không tìm thấy"))</f>
        <v/>
      </c>
      <c r="Y449" s="5">
        <f>IF($R449="","",IFERROR(INDEX('DM_XaPhuong'!$B$2:$B$169,AGGREGATE(15,6,ROW('DM_XaPhuong'!$B$2:$B$169)-ROW('DM_XaPhuong'!$B$2)+1/ISNUMBER(SEARCH(SUBSTITUTE(UPPER($R449)," ",""),'DM_XaPhuong'!$C$2:$C$169)),1)),"Không tìm thấy"))</f>
        <v/>
      </c>
      <c r="AB449" s="5">
        <f>IF($T449="","",IFERROR(INDEX('DM_NgheNghiep'!$B$2:$B$11,AGGREGATE(15,6,ROW('DM_NgheNghiep'!$B$2:$B$11)-ROW('DM_NgheNghiep'!$B$2)+1/ISNUMBER(SEARCH(SUBSTITUTE(UPPER($T449)," ",""),'DM_NgheNghiep'!$C$2:$C$11)),1)),"Không tìm thấy"))</f>
        <v/>
      </c>
      <c r="AD449" s="5">
        <f>IF($U449="","",IFERROR(INDEX('DM_NoiCongTac'!$B$2:$B$11,AGGREGATE(15,6,ROW('DM_NoiCongTac'!$B$2:$B$11)-ROW('DM_NoiCongTac'!$B$2)+1/ISNUMBER(SEARCH(SUBSTITUTE(UPPER($U449)," ",""),'DM_NoiCongTac'!$C$2:$C$11)),1)),"Không tìm thấy"))</f>
        <v/>
      </c>
      <c r="AF449" s="5">
        <f>IF($V449="","",IFERROR(INDEX('DM_XaPhuong'!$B$2:$B$169,AGGREGATE(15,6,ROW('DM_XaPhuong'!$B$2:$B$169)-ROW('DM_XaPhuong'!$B$2)+1/ISNUMBER(SEARCH(SUBSTITUTE(UPPER($V449)," ",""),'DM_XaPhuong'!$C$2:$C$169)),1)),"Không tìm thấy"))</f>
        <v/>
      </c>
    </row>
    <row r="450">
      <c r="C450" s="5">
        <f>IF($B450="","",IFERROR(INDEX('DM_DoiTuong'!$B$2:$B$19,AGGREGATE(15,6,ROW('DM_DoiTuong'!$B$2:$B$19)-ROW('DM_DoiTuong'!$B$2)+1/ISNUMBER(SEARCH(SUBSTITUTE(UPPER($B450)," ",""),'DM_DoiTuong'!$C$2:$C$19)),1)),"Không tìm thấy"))</f>
        <v/>
      </c>
      <c r="E450" s="5">
        <f>IF($C450="","",IFERROR(INDEX('DM_DiaDiemKham'!$B$2:$B$6,AGGREGATE(15,6,ROW('DM_DiaDiemKham'!$B$2:$B$6)-ROW('DM_DiaDiemKham'!$B$2)+1/ISNUMBER(SEARCH(SUBSTITUTE(UPPER($C450)," ",""),'DM_DiaDiemKham'!$C$2:$C$6)),1)),"Không tìm thấy"))</f>
        <v/>
      </c>
      <c r="G450" s="5">
        <f>IF($D450="","",IFERROR(INDEX('DM_HinhThucChiTra'!$B$2:$B$5,AGGREGATE(15,6,ROW('DM_HinhThucChiTra'!$B$2:$B$5)-ROW('DM_HinhThucChiTra'!$B$2)+1/ISNUMBER(SEARCH(SUBSTITUTE(UPPER($D450)," ",""),'DM_HinhThucChiTra'!$C$2:$C$5)),1)),"Không tìm thấy"))</f>
        <v/>
      </c>
      <c r="I450" s="5">
        <f>IF($E450="","",IFERROR(INDEX('DM_HinhThucKham'!$B$2:$B$3,AGGREGATE(15,6,ROW('DM_HinhThucKham'!$B$2:$B$3)-ROW('DM_HinhThucKham'!$B$2)+1/ISNUMBER(SEARCH(SUBSTITUTE(UPPER($E450)," ",""),'DM_HinhThucKham'!$C$2:$C$3)),1)),"Không tìm thấy"))</f>
        <v/>
      </c>
      <c r="P450" s="5">
        <f>IF($K450="","",IFERROR(INDEX('DM_DanToc'!$B$2:$B$78,AGGREGATE(15,6,ROW('DM_DanToc'!$B$2:$B$78)-ROW('DM_DanToc'!$B$2)+1/ISNUMBER(SEARCH(SUBSTITUTE(UPPER($K450)," ",""),'DM_DanToc'!$C$2:$C$78)),1)),"Không tìm thấy"))</f>
        <v/>
      </c>
      <c r="W450" s="5">
        <f>IF($Q450="","",IFERROR(INDEX('DM_TinhThanh'!$B$2:$B$35,AGGREGATE(15,6,ROW('DM_TinhThanh'!$B$2:$B$35)-ROW('DM_TinhThanh'!$B$2)+1/ISNUMBER(SEARCH(SUBSTITUTE(UPPER($Q450)," ",""),'DM_TinhThanh'!$C$2:$C$35)),1)),"Không tìm thấy"))</f>
        <v/>
      </c>
      <c r="Y450" s="5">
        <f>IF($R450="","",IFERROR(INDEX('DM_XaPhuong'!$B$2:$B$169,AGGREGATE(15,6,ROW('DM_XaPhuong'!$B$2:$B$169)-ROW('DM_XaPhuong'!$B$2)+1/ISNUMBER(SEARCH(SUBSTITUTE(UPPER($R450)," ",""),'DM_XaPhuong'!$C$2:$C$169)),1)),"Không tìm thấy"))</f>
        <v/>
      </c>
      <c r="AB450" s="5">
        <f>IF($T450="","",IFERROR(INDEX('DM_NgheNghiep'!$B$2:$B$11,AGGREGATE(15,6,ROW('DM_NgheNghiep'!$B$2:$B$11)-ROW('DM_NgheNghiep'!$B$2)+1/ISNUMBER(SEARCH(SUBSTITUTE(UPPER($T450)," ",""),'DM_NgheNghiep'!$C$2:$C$11)),1)),"Không tìm thấy"))</f>
        <v/>
      </c>
      <c r="AD450" s="5">
        <f>IF($U450="","",IFERROR(INDEX('DM_NoiCongTac'!$B$2:$B$11,AGGREGATE(15,6,ROW('DM_NoiCongTac'!$B$2:$B$11)-ROW('DM_NoiCongTac'!$B$2)+1/ISNUMBER(SEARCH(SUBSTITUTE(UPPER($U450)," ",""),'DM_NoiCongTac'!$C$2:$C$11)),1)),"Không tìm thấy"))</f>
        <v/>
      </c>
      <c r="AF450" s="5">
        <f>IF($V450="","",IFERROR(INDEX('DM_XaPhuong'!$B$2:$B$169,AGGREGATE(15,6,ROW('DM_XaPhuong'!$B$2:$B$169)-ROW('DM_XaPhuong'!$B$2)+1/ISNUMBER(SEARCH(SUBSTITUTE(UPPER($V450)," ",""),'DM_XaPhuong'!$C$2:$C$169)),1)),"Không tìm thấy"))</f>
        <v/>
      </c>
    </row>
    <row r="451">
      <c r="C451" s="5">
        <f>IF($B451="","",IFERROR(INDEX('DM_DoiTuong'!$B$2:$B$19,AGGREGATE(15,6,ROW('DM_DoiTuong'!$B$2:$B$19)-ROW('DM_DoiTuong'!$B$2)+1/ISNUMBER(SEARCH(SUBSTITUTE(UPPER($B451)," ",""),'DM_DoiTuong'!$C$2:$C$19)),1)),"Không tìm thấy"))</f>
        <v/>
      </c>
      <c r="E451" s="5">
        <f>IF($C451="","",IFERROR(INDEX('DM_DiaDiemKham'!$B$2:$B$6,AGGREGATE(15,6,ROW('DM_DiaDiemKham'!$B$2:$B$6)-ROW('DM_DiaDiemKham'!$B$2)+1/ISNUMBER(SEARCH(SUBSTITUTE(UPPER($C451)," ",""),'DM_DiaDiemKham'!$C$2:$C$6)),1)),"Không tìm thấy"))</f>
        <v/>
      </c>
      <c r="G451" s="5">
        <f>IF($D451="","",IFERROR(INDEX('DM_HinhThucChiTra'!$B$2:$B$5,AGGREGATE(15,6,ROW('DM_HinhThucChiTra'!$B$2:$B$5)-ROW('DM_HinhThucChiTra'!$B$2)+1/ISNUMBER(SEARCH(SUBSTITUTE(UPPER($D451)," ",""),'DM_HinhThucChiTra'!$C$2:$C$5)),1)),"Không tìm thấy"))</f>
        <v/>
      </c>
      <c r="I451" s="5">
        <f>IF($E451="","",IFERROR(INDEX('DM_HinhThucKham'!$B$2:$B$3,AGGREGATE(15,6,ROW('DM_HinhThucKham'!$B$2:$B$3)-ROW('DM_HinhThucKham'!$B$2)+1/ISNUMBER(SEARCH(SUBSTITUTE(UPPER($E451)," ",""),'DM_HinhThucKham'!$C$2:$C$3)),1)),"Không tìm thấy"))</f>
        <v/>
      </c>
      <c r="P451" s="5">
        <f>IF($K451="","",IFERROR(INDEX('DM_DanToc'!$B$2:$B$78,AGGREGATE(15,6,ROW('DM_DanToc'!$B$2:$B$78)-ROW('DM_DanToc'!$B$2)+1/ISNUMBER(SEARCH(SUBSTITUTE(UPPER($K451)," ",""),'DM_DanToc'!$C$2:$C$78)),1)),"Không tìm thấy"))</f>
        <v/>
      </c>
      <c r="W451" s="5">
        <f>IF($Q451="","",IFERROR(INDEX('DM_TinhThanh'!$B$2:$B$35,AGGREGATE(15,6,ROW('DM_TinhThanh'!$B$2:$B$35)-ROW('DM_TinhThanh'!$B$2)+1/ISNUMBER(SEARCH(SUBSTITUTE(UPPER($Q451)," ",""),'DM_TinhThanh'!$C$2:$C$35)),1)),"Không tìm thấy"))</f>
        <v/>
      </c>
      <c r="Y451" s="5">
        <f>IF($R451="","",IFERROR(INDEX('DM_XaPhuong'!$B$2:$B$169,AGGREGATE(15,6,ROW('DM_XaPhuong'!$B$2:$B$169)-ROW('DM_XaPhuong'!$B$2)+1/ISNUMBER(SEARCH(SUBSTITUTE(UPPER($R451)," ",""),'DM_XaPhuong'!$C$2:$C$169)),1)),"Không tìm thấy"))</f>
        <v/>
      </c>
      <c r="AB451" s="5">
        <f>IF($T451="","",IFERROR(INDEX('DM_NgheNghiep'!$B$2:$B$11,AGGREGATE(15,6,ROW('DM_NgheNghiep'!$B$2:$B$11)-ROW('DM_NgheNghiep'!$B$2)+1/ISNUMBER(SEARCH(SUBSTITUTE(UPPER($T451)," ",""),'DM_NgheNghiep'!$C$2:$C$11)),1)),"Không tìm thấy"))</f>
        <v/>
      </c>
      <c r="AD451" s="5">
        <f>IF($U451="","",IFERROR(INDEX('DM_NoiCongTac'!$B$2:$B$11,AGGREGATE(15,6,ROW('DM_NoiCongTac'!$B$2:$B$11)-ROW('DM_NoiCongTac'!$B$2)+1/ISNUMBER(SEARCH(SUBSTITUTE(UPPER($U451)," ",""),'DM_NoiCongTac'!$C$2:$C$11)),1)),"Không tìm thấy"))</f>
        <v/>
      </c>
      <c r="AF451" s="5">
        <f>IF($V451="","",IFERROR(INDEX('DM_XaPhuong'!$B$2:$B$169,AGGREGATE(15,6,ROW('DM_XaPhuong'!$B$2:$B$169)-ROW('DM_XaPhuong'!$B$2)+1/ISNUMBER(SEARCH(SUBSTITUTE(UPPER($V451)," ",""),'DM_XaPhuong'!$C$2:$C$169)),1)),"Không tìm thấy"))</f>
        <v/>
      </c>
    </row>
    <row r="452">
      <c r="C452" s="5">
        <f>IF($B452="","",IFERROR(INDEX('DM_DoiTuong'!$B$2:$B$19,AGGREGATE(15,6,ROW('DM_DoiTuong'!$B$2:$B$19)-ROW('DM_DoiTuong'!$B$2)+1/ISNUMBER(SEARCH(SUBSTITUTE(UPPER($B452)," ",""),'DM_DoiTuong'!$C$2:$C$19)),1)),"Không tìm thấy"))</f>
        <v/>
      </c>
      <c r="E452" s="5">
        <f>IF($C452="","",IFERROR(INDEX('DM_DiaDiemKham'!$B$2:$B$6,AGGREGATE(15,6,ROW('DM_DiaDiemKham'!$B$2:$B$6)-ROW('DM_DiaDiemKham'!$B$2)+1/ISNUMBER(SEARCH(SUBSTITUTE(UPPER($C452)," ",""),'DM_DiaDiemKham'!$C$2:$C$6)),1)),"Không tìm thấy"))</f>
        <v/>
      </c>
      <c r="G452" s="5">
        <f>IF($D452="","",IFERROR(INDEX('DM_HinhThucChiTra'!$B$2:$B$5,AGGREGATE(15,6,ROW('DM_HinhThucChiTra'!$B$2:$B$5)-ROW('DM_HinhThucChiTra'!$B$2)+1/ISNUMBER(SEARCH(SUBSTITUTE(UPPER($D452)," ",""),'DM_HinhThucChiTra'!$C$2:$C$5)),1)),"Không tìm thấy"))</f>
        <v/>
      </c>
      <c r="I452" s="5">
        <f>IF($E452="","",IFERROR(INDEX('DM_HinhThucKham'!$B$2:$B$3,AGGREGATE(15,6,ROW('DM_HinhThucKham'!$B$2:$B$3)-ROW('DM_HinhThucKham'!$B$2)+1/ISNUMBER(SEARCH(SUBSTITUTE(UPPER($E452)," ",""),'DM_HinhThucKham'!$C$2:$C$3)),1)),"Không tìm thấy"))</f>
        <v/>
      </c>
      <c r="P452" s="5">
        <f>IF($K452="","",IFERROR(INDEX('DM_DanToc'!$B$2:$B$78,AGGREGATE(15,6,ROW('DM_DanToc'!$B$2:$B$78)-ROW('DM_DanToc'!$B$2)+1/ISNUMBER(SEARCH(SUBSTITUTE(UPPER($K452)," ",""),'DM_DanToc'!$C$2:$C$78)),1)),"Không tìm thấy"))</f>
        <v/>
      </c>
      <c r="W452" s="5">
        <f>IF($Q452="","",IFERROR(INDEX('DM_TinhThanh'!$B$2:$B$35,AGGREGATE(15,6,ROW('DM_TinhThanh'!$B$2:$B$35)-ROW('DM_TinhThanh'!$B$2)+1/ISNUMBER(SEARCH(SUBSTITUTE(UPPER($Q452)," ",""),'DM_TinhThanh'!$C$2:$C$35)),1)),"Không tìm thấy"))</f>
        <v/>
      </c>
      <c r="Y452" s="5">
        <f>IF($R452="","",IFERROR(INDEX('DM_XaPhuong'!$B$2:$B$169,AGGREGATE(15,6,ROW('DM_XaPhuong'!$B$2:$B$169)-ROW('DM_XaPhuong'!$B$2)+1/ISNUMBER(SEARCH(SUBSTITUTE(UPPER($R452)," ",""),'DM_XaPhuong'!$C$2:$C$169)),1)),"Không tìm thấy"))</f>
        <v/>
      </c>
      <c r="AB452" s="5">
        <f>IF($T452="","",IFERROR(INDEX('DM_NgheNghiep'!$B$2:$B$11,AGGREGATE(15,6,ROW('DM_NgheNghiep'!$B$2:$B$11)-ROW('DM_NgheNghiep'!$B$2)+1/ISNUMBER(SEARCH(SUBSTITUTE(UPPER($T452)," ",""),'DM_NgheNghiep'!$C$2:$C$11)),1)),"Không tìm thấy"))</f>
        <v/>
      </c>
      <c r="AD452" s="5">
        <f>IF($U452="","",IFERROR(INDEX('DM_NoiCongTac'!$B$2:$B$11,AGGREGATE(15,6,ROW('DM_NoiCongTac'!$B$2:$B$11)-ROW('DM_NoiCongTac'!$B$2)+1/ISNUMBER(SEARCH(SUBSTITUTE(UPPER($U452)," ",""),'DM_NoiCongTac'!$C$2:$C$11)),1)),"Không tìm thấy"))</f>
        <v/>
      </c>
      <c r="AF452" s="5">
        <f>IF($V452="","",IFERROR(INDEX('DM_XaPhuong'!$B$2:$B$169,AGGREGATE(15,6,ROW('DM_XaPhuong'!$B$2:$B$169)-ROW('DM_XaPhuong'!$B$2)+1/ISNUMBER(SEARCH(SUBSTITUTE(UPPER($V452)," ",""),'DM_XaPhuong'!$C$2:$C$169)),1)),"Không tìm thấy"))</f>
        <v/>
      </c>
    </row>
    <row r="453">
      <c r="C453" s="5">
        <f>IF($B453="","",IFERROR(INDEX('DM_DoiTuong'!$B$2:$B$19,AGGREGATE(15,6,ROW('DM_DoiTuong'!$B$2:$B$19)-ROW('DM_DoiTuong'!$B$2)+1/ISNUMBER(SEARCH(SUBSTITUTE(UPPER($B453)," ",""),'DM_DoiTuong'!$C$2:$C$19)),1)),"Không tìm thấy"))</f>
        <v/>
      </c>
      <c r="E453" s="5">
        <f>IF($C453="","",IFERROR(INDEX('DM_DiaDiemKham'!$B$2:$B$6,AGGREGATE(15,6,ROW('DM_DiaDiemKham'!$B$2:$B$6)-ROW('DM_DiaDiemKham'!$B$2)+1/ISNUMBER(SEARCH(SUBSTITUTE(UPPER($C453)," ",""),'DM_DiaDiemKham'!$C$2:$C$6)),1)),"Không tìm thấy"))</f>
        <v/>
      </c>
      <c r="G453" s="5">
        <f>IF($D453="","",IFERROR(INDEX('DM_HinhThucChiTra'!$B$2:$B$5,AGGREGATE(15,6,ROW('DM_HinhThucChiTra'!$B$2:$B$5)-ROW('DM_HinhThucChiTra'!$B$2)+1/ISNUMBER(SEARCH(SUBSTITUTE(UPPER($D453)," ",""),'DM_HinhThucChiTra'!$C$2:$C$5)),1)),"Không tìm thấy"))</f>
        <v/>
      </c>
      <c r="I453" s="5">
        <f>IF($E453="","",IFERROR(INDEX('DM_HinhThucKham'!$B$2:$B$3,AGGREGATE(15,6,ROW('DM_HinhThucKham'!$B$2:$B$3)-ROW('DM_HinhThucKham'!$B$2)+1/ISNUMBER(SEARCH(SUBSTITUTE(UPPER($E453)," ",""),'DM_HinhThucKham'!$C$2:$C$3)),1)),"Không tìm thấy"))</f>
        <v/>
      </c>
      <c r="P453" s="5">
        <f>IF($K453="","",IFERROR(INDEX('DM_DanToc'!$B$2:$B$78,AGGREGATE(15,6,ROW('DM_DanToc'!$B$2:$B$78)-ROW('DM_DanToc'!$B$2)+1/ISNUMBER(SEARCH(SUBSTITUTE(UPPER($K453)," ",""),'DM_DanToc'!$C$2:$C$78)),1)),"Không tìm thấy"))</f>
        <v/>
      </c>
      <c r="W453" s="5">
        <f>IF($Q453="","",IFERROR(INDEX('DM_TinhThanh'!$B$2:$B$35,AGGREGATE(15,6,ROW('DM_TinhThanh'!$B$2:$B$35)-ROW('DM_TinhThanh'!$B$2)+1/ISNUMBER(SEARCH(SUBSTITUTE(UPPER($Q453)," ",""),'DM_TinhThanh'!$C$2:$C$35)),1)),"Không tìm thấy"))</f>
        <v/>
      </c>
      <c r="Y453" s="5">
        <f>IF($R453="","",IFERROR(INDEX('DM_XaPhuong'!$B$2:$B$169,AGGREGATE(15,6,ROW('DM_XaPhuong'!$B$2:$B$169)-ROW('DM_XaPhuong'!$B$2)+1/ISNUMBER(SEARCH(SUBSTITUTE(UPPER($R453)," ",""),'DM_XaPhuong'!$C$2:$C$169)),1)),"Không tìm thấy"))</f>
        <v/>
      </c>
      <c r="AB453" s="5">
        <f>IF($T453="","",IFERROR(INDEX('DM_NgheNghiep'!$B$2:$B$11,AGGREGATE(15,6,ROW('DM_NgheNghiep'!$B$2:$B$11)-ROW('DM_NgheNghiep'!$B$2)+1/ISNUMBER(SEARCH(SUBSTITUTE(UPPER($T453)," ",""),'DM_NgheNghiep'!$C$2:$C$11)),1)),"Không tìm thấy"))</f>
        <v/>
      </c>
      <c r="AD453" s="5">
        <f>IF($U453="","",IFERROR(INDEX('DM_NoiCongTac'!$B$2:$B$11,AGGREGATE(15,6,ROW('DM_NoiCongTac'!$B$2:$B$11)-ROW('DM_NoiCongTac'!$B$2)+1/ISNUMBER(SEARCH(SUBSTITUTE(UPPER($U453)," ",""),'DM_NoiCongTac'!$C$2:$C$11)),1)),"Không tìm thấy"))</f>
        <v/>
      </c>
      <c r="AF453" s="5">
        <f>IF($V453="","",IFERROR(INDEX('DM_XaPhuong'!$B$2:$B$169,AGGREGATE(15,6,ROW('DM_XaPhuong'!$B$2:$B$169)-ROW('DM_XaPhuong'!$B$2)+1/ISNUMBER(SEARCH(SUBSTITUTE(UPPER($V453)," ",""),'DM_XaPhuong'!$C$2:$C$169)),1)),"Không tìm thấy"))</f>
        <v/>
      </c>
    </row>
    <row r="454">
      <c r="C454" s="5">
        <f>IF($B454="","",IFERROR(INDEX('DM_DoiTuong'!$B$2:$B$19,AGGREGATE(15,6,ROW('DM_DoiTuong'!$B$2:$B$19)-ROW('DM_DoiTuong'!$B$2)+1/ISNUMBER(SEARCH(SUBSTITUTE(UPPER($B454)," ",""),'DM_DoiTuong'!$C$2:$C$19)),1)),"Không tìm thấy"))</f>
        <v/>
      </c>
      <c r="E454" s="5">
        <f>IF($C454="","",IFERROR(INDEX('DM_DiaDiemKham'!$B$2:$B$6,AGGREGATE(15,6,ROW('DM_DiaDiemKham'!$B$2:$B$6)-ROW('DM_DiaDiemKham'!$B$2)+1/ISNUMBER(SEARCH(SUBSTITUTE(UPPER($C454)," ",""),'DM_DiaDiemKham'!$C$2:$C$6)),1)),"Không tìm thấy"))</f>
        <v/>
      </c>
      <c r="G454" s="5">
        <f>IF($D454="","",IFERROR(INDEX('DM_HinhThucChiTra'!$B$2:$B$5,AGGREGATE(15,6,ROW('DM_HinhThucChiTra'!$B$2:$B$5)-ROW('DM_HinhThucChiTra'!$B$2)+1/ISNUMBER(SEARCH(SUBSTITUTE(UPPER($D454)," ",""),'DM_HinhThucChiTra'!$C$2:$C$5)),1)),"Không tìm thấy"))</f>
        <v/>
      </c>
      <c r="I454" s="5">
        <f>IF($E454="","",IFERROR(INDEX('DM_HinhThucKham'!$B$2:$B$3,AGGREGATE(15,6,ROW('DM_HinhThucKham'!$B$2:$B$3)-ROW('DM_HinhThucKham'!$B$2)+1/ISNUMBER(SEARCH(SUBSTITUTE(UPPER($E454)," ",""),'DM_HinhThucKham'!$C$2:$C$3)),1)),"Không tìm thấy"))</f>
        <v/>
      </c>
      <c r="P454" s="5">
        <f>IF($K454="","",IFERROR(INDEX('DM_DanToc'!$B$2:$B$78,AGGREGATE(15,6,ROW('DM_DanToc'!$B$2:$B$78)-ROW('DM_DanToc'!$B$2)+1/ISNUMBER(SEARCH(SUBSTITUTE(UPPER($K454)," ",""),'DM_DanToc'!$C$2:$C$78)),1)),"Không tìm thấy"))</f>
        <v/>
      </c>
      <c r="W454" s="5">
        <f>IF($Q454="","",IFERROR(INDEX('DM_TinhThanh'!$B$2:$B$35,AGGREGATE(15,6,ROW('DM_TinhThanh'!$B$2:$B$35)-ROW('DM_TinhThanh'!$B$2)+1/ISNUMBER(SEARCH(SUBSTITUTE(UPPER($Q454)," ",""),'DM_TinhThanh'!$C$2:$C$35)),1)),"Không tìm thấy"))</f>
        <v/>
      </c>
      <c r="Y454" s="5">
        <f>IF($R454="","",IFERROR(INDEX('DM_XaPhuong'!$B$2:$B$169,AGGREGATE(15,6,ROW('DM_XaPhuong'!$B$2:$B$169)-ROW('DM_XaPhuong'!$B$2)+1/ISNUMBER(SEARCH(SUBSTITUTE(UPPER($R454)," ",""),'DM_XaPhuong'!$C$2:$C$169)),1)),"Không tìm thấy"))</f>
        <v/>
      </c>
      <c r="AB454" s="5">
        <f>IF($T454="","",IFERROR(INDEX('DM_NgheNghiep'!$B$2:$B$11,AGGREGATE(15,6,ROW('DM_NgheNghiep'!$B$2:$B$11)-ROW('DM_NgheNghiep'!$B$2)+1/ISNUMBER(SEARCH(SUBSTITUTE(UPPER($T454)," ",""),'DM_NgheNghiep'!$C$2:$C$11)),1)),"Không tìm thấy"))</f>
        <v/>
      </c>
      <c r="AD454" s="5">
        <f>IF($U454="","",IFERROR(INDEX('DM_NoiCongTac'!$B$2:$B$11,AGGREGATE(15,6,ROW('DM_NoiCongTac'!$B$2:$B$11)-ROW('DM_NoiCongTac'!$B$2)+1/ISNUMBER(SEARCH(SUBSTITUTE(UPPER($U454)," ",""),'DM_NoiCongTac'!$C$2:$C$11)),1)),"Không tìm thấy"))</f>
        <v/>
      </c>
      <c r="AF454" s="5">
        <f>IF($V454="","",IFERROR(INDEX('DM_XaPhuong'!$B$2:$B$169,AGGREGATE(15,6,ROW('DM_XaPhuong'!$B$2:$B$169)-ROW('DM_XaPhuong'!$B$2)+1/ISNUMBER(SEARCH(SUBSTITUTE(UPPER($V454)," ",""),'DM_XaPhuong'!$C$2:$C$169)),1)),"Không tìm thấy"))</f>
        <v/>
      </c>
    </row>
    <row r="455">
      <c r="C455" s="5">
        <f>IF($B455="","",IFERROR(INDEX('DM_DoiTuong'!$B$2:$B$19,AGGREGATE(15,6,ROW('DM_DoiTuong'!$B$2:$B$19)-ROW('DM_DoiTuong'!$B$2)+1/ISNUMBER(SEARCH(SUBSTITUTE(UPPER($B455)," ",""),'DM_DoiTuong'!$C$2:$C$19)),1)),"Không tìm thấy"))</f>
        <v/>
      </c>
      <c r="E455" s="5">
        <f>IF($C455="","",IFERROR(INDEX('DM_DiaDiemKham'!$B$2:$B$6,AGGREGATE(15,6,ROW('DM_DiaDiemKham'!$B$2:$B$6)-ROW('DM_DiaDiemKham'!$B$2)+1/ISNUMBER(SEARCH(SUBSTITUTE(UPPER($C455)," ",""),'DM_DiaDiemKham'!$C$2:$C$6)),1)),"Không tìm thấy"))</f>
        <v/>
      </c>
      <c r="G455" s="5">
        <f>IF($D455="","",IFERROR(INDEX('DM_HinhThucChiTra'!$B$2:$B$5,AGGREGATE(15,6,ROW('DM_HinhThucChiTra'!$B$2:$B$5)-ROW('DM_HinhThucChiTra'!$B$2)+1/ISNUMBER(SEARCH(SUBSTITUTE(UPPER($D455)," ",""),'DM_HinhThucChiTra'!$C$2:$C$5)),1)),"Không tìm thấy"))</f>
        <v/>
      </c>
      <c r="I455" s="5">
        <f>IF($E455="","",IFERROR(INDEX('DM_HinhThucKham'!$B$2:$B$3,AGGREGATE(15,6,ROW('DM_HinhThucKham'!$B$2:$B$3)-ROW('DM_HinhThucKham'!$B$2)+1/ISNUMBER(SEARCH(SUBSTITUTE(UPPER($E455)," ",""),'DM_HinhThucKham'!$C$2:$C$3)),1)),"Không tìm thấy"))</f>
        <v/>
      </c>
      <c r="P455" s="5">
        <f>IF($K455="","",IFERROR(INDEX('DM_DanToc'!$B$2:$B$78,AGGREGATE(15,6,ROW('DM_DanToc'!$B$2:$B$78)-ROW('DM_DanToc'!$B$2)+1/ISNUMBER(SEARCH(SUBSTITUTE(UPPER($K455)," ",""),'DM_DanToc'!$C$2:$C$78)),1)),"Không tìm thấy"))</f>
        <v/>
      </c>
      <c r="W455" s="5">
        <f>IF($Q455="","",IFERROR(INDEX('DM_TinhThanh'!$B$2:$B$35,AGGREGATE(15,6,ROW('DM_TinhThanh'!$B$2:$B$35)-ROW('DM_TinhThanh'!$B$2)+1/ISNUMBER(SEARCH(SUBSTITUTE(UPPER($Q455)," ",""),'DM_TinhThanh'!$C$2:$C$35)),1)),"Không tìm thấy"))</f>
        <v/>
      </c>
      <c r="Y455" s="5">
        <f>IF($R455="","",IFERROR(INDEX('DM_XaPhuong'!$B$2:$B$169,AGGREGATE(15,6,ROW('DM_XaPhuong'!$B$2:$B$169)-ROW('DM_XaPhuong'!$B$2)+1/ISNUMBER(SEARCH(SUBSTITUTE(UPPER($R455)," ",""),'DM_XaPhuong'!$C$2:$C$169)),1)),"Không tìm thấy"))</f>
        <v/>
      </c>
      <c r="AB455" s="5">
        <f>IF($T455="","",IFERROR(INDEX('DM_NgheNghiep'!$B$2:$B$11,AGGREGATE(15,6,ROW('DM_NgheNghiep'!$B$2:$B$11)-ROW('DM_NgheNghiep'!$B$2)+1/ISNUMBER(SEARCH(SUBSTITUTE(UPPER($T455)," ",""),'DM_NgheNghiep'!$C$2:$C$11)),1)),"Không tìm thấy"))</f>
        <v/>
      </c>
      <c r="AD455" s="5">
        <f>IF($U455="","",IFERROR(INDEX('DM_NoiCongTac'!$B$2:$B$11,AGGREGATE(15,6,ROW('DM_NoiCongTac'!$B$2:$B$11)-ROW('DM_NoiCongTac'!$B$2)+1/ISNUMBER(SEARCH(SUBSTITUTE(UPPER($U455)," ",""),'DM_NoiCongTac'!$C$2:$C$11)),1)),"Không tìm thấy"))</f>
        <v/>
      </c>
      <c r="AF455" s="5">
        <f>IF($V455="","",IFERROR(INDEX('DM_XaPhuong'!$B$2:$B$169,AGGREGATE(15,6,ROW('DM_XaPhuong'!$B$2:$B$169)-ROW('DM_XaPhuong'!$B$2)+1/ISNUMBER(SEARCH(SUBSTITUTE(UPPER($V455)," ",""),'DM_XaPhuong'!$C$2:$C$169)),1)),"Không tìm thấy"))</f>
        <v/>
      </c>
    </row>
    <row r="456">
      <c r="C456" s="5">
        <f>IF($B456="","",IFERROR(INDEX('DM_DoiTuong'!$B$2:$B$19,AGGREGATE(15,6,ROW('DM_DoiTuong'!$B$2:$B$19)-ROW('DM_DoiTuong'!$B$2)+1/ISNUMBER(SEARCH(SUBSTITUTE(UPPER($B456)," ",""),'DM_DoiTuong'!$C$2:$C$19)),1)),"Không tìm thấy"))</f>
        <v/>
      </c>
      <c r="E456" s="5">
        <f>IF($C456="","",IFERROR(INDEX('DM_DiaDiemKham'!$B$2:$B$6,AGGREGATE(15,6,ROW('DM_DiaDiemKham'!$B$2:$B$6)-ROW('DM_DiaDiemKham'!$B$2)+1/ISNUMBER(SEARCH(SUBSTITUTE(UPPER($C456)," ",""),'DM_DiaDiemKham'!$C$2:$C$6)),1)),"Không tìm thấy"))</f>
        <v/>
      </c>
      <c r="G456" s="5">
        <f>IF($D456="","",IFERROR(INDEX('DM_HinhThucChiTra'!$B$2:$B$5,AGGREGATE(15,6,ROW('DM_HinhThucChiTra'!$B$2:$B$5)-ROW('DM_HinhThucChiTra'!$B$2)+1/ISNUMBER(SEARCH(SUBSTITUTE(UPPER($D456)," ",""),'DM_HinhThucChiTra'!$C$2:$C$5)),1)),"Không tìm thấy"))</f>
        <v/>
      </c>
      <c r="I456" s="5">
        <f>IF($E456="","",IFERROR(INDEX('DM_HinhThucKham'!$B$2:$B$3,AGGREGATE(15,6,ROW('DM_HinhThucKham'!$B$2:$B$3)-ROW('DM_HinhThucKham'!$B$2)+1/ISNUMBER(SEARCH(SUBSTITUTE(UPPER($E456)," ",""),'DM_HinhThucKham'!$C$2:$C$3)),1)),"Không tìm thấy"))</f>
        <v/>
      </c>
      <c r="P456" s="5">
        <f>IF($K456="","",IFERROR(INDEX('DM_DanToc'!$B$2:$B$78,AGGREGATE(15,6,ROW('DM_DanToc'!$B$2:$B$78)-ROW('DM_DanToc'!$B$2)+1/ISNUMBER(SEARCH(SUBSTITUTE(UPPER($K456)," ",""),'DM_DanToc'!$C$2:$C$78)),1)),"Không tìm thấy"))</f>
        <v/>
      </c>
      <c r="W456" s="5">
        <f>IF($Q456="","",IFERROR(INDEX('DM_TinhThanh'!$B$2:$B$35,AGGREGATE(15,6,ROW('DM_TinhThanh'!$B$2:$B$35)-ROW('DM_TinhThanh'!$B$2)+1/ISNUMBER(SEARCH(SUBSTITUTE(UPPER($Q456)," ",""),'DM_TinhThanh'!$C$2:$C$35)),1)),"Không tìm thấy"))</f>
        <v/>
      </c>
      <c r="Y456" s="5">
        <f>IF($R456="","",IFERROR(INDEX('DM_XaPhuong'!$B$2:$B$169,AGGREGATE(15,6,ROW('DM_XaPhuong'!$B$2:$B$169)-ROW('DM_XaPhuong'!$B$2)+1/ISNUMBER(SEARCH(SUBSTITUTE(UPPER($R456)," ",""),'DM_XaPhuong'!$C$2:$C$169)),1)),"Không tìm thấy"))</f>
        <v/>
      </c>
      <c r="AB456" s="5">
        <f>IF($T456="","",IFERROR(INDEX('DM_NgheNghiep'!$B$2:$B$11,AGGREGATE(15,6,ROW('DM_NgheNghiep'!$B$2:$B$11)-ROW('DM_NgheNghiep'!$B$2)+1/ISNUMBER(SEARCH(SUBSTITUTE(UPPER($T456)," ",""),'DM_NgheNghiep'!$C$2:$C$11)),1)),"Không tìm thấy"))</f>
        <v/>
      </c>
      <c r="AD456" s="5">
        <f>IF($U456="","",IFERROR(INDEX('DM_NoiCongTac'!$B$2:$B$11,AGGREGATE(15,6,ROW('DM_NoiCongTac'!$B$2:$B$11)-ROW('DM_NoiCongTac'!$B$2)+1/ISNUMBER(SEARCH(SUBSTITUTE(UPPER($U456)," ",""),'DM_NoiCongTac'!$C$2:$C$11)),1)),"Không tìm thấy"))</f>
        <v/>
      </c>
      <c r="AF456" s="5">
        <f>IF($V456="","",IFERROR(INDEX('DM_XaPhuong'!$B$2:$B$169,AGGREGATE(15,6,ROW('DM_XaPhuong'!$B$2:$B$169)-ROW('DM_XaPhuong'!$B$2)+1/ISNUMBER(SEARCH(SUBSTITUTE(UPPER($V456)," ",""),'DM_XaPhuong'!$C$2:$C$169)),1)),"Không tìm thấy"))</f>
        <v/>
      </c>
    </row>
    <row r="457">
      <c r="C457" s="5">
        <f>IF($B457="","",IFERROR(INDEX('DM_DoiTuong'!$B$2:$B$19,AGGREGATE(15,6,ROW('DM_DoiTuong'!$B$2:$B$19)-ROW('DM_DoiTuong'!$B$2)+1/ISNUMBER(SEARCH(SUBSTITUTE(UPPER($B457)," ",""),'DM_DoiTuong'!$C$2:$C$19)),1)),"Không tìm thấy"))</f>
        <v/>
      </c>
      <c r="E457" s="5">
        <f>IF($C457="","",IFERROR(INDEX('DM_DiaDiemKham'!$B$2:$B$6,AGGREGATE(15,6,ROW('DM_DiaDiemKham'!$B$2:$B$6)-ROW('DM_DiaDiemKham'!$B$2)+1/ISNUMBER(SEARCH(SUBSTITUTE(UPPER($C457)," ",""),'DM_DiaDiemKham'!$C$2:$C$6)),1)),"Không tìm thấy"))</f>
        <v/>
      </c>
      <c r="G457" s="5">
        <f>IF($D457="","",IFERROR(INDEX('DM_HinhThucChiTra'!$B$2:$B$5,AGGREGATE(15,6,ROW('DM_HinhThucChiTra'!$B$2:$B$5)-ROW('DM_HinhThucChiTra'!$B$2)+1/ISNUMBER(SEARCH(SUBSTITUTE(UPPER($D457)," ",""),'DM_HinhThucChiTra'!$C$2:$C$5)),1)),"Không tìm thấy"))</f>
        <v/>
      </c>
      <c r="I457" s="5">
        <f>IF($E457="","",IFERROR(INDEX('DM_HinhThucKham'!$B$2:$B$3,AGGREGATE(15,6,ROW('DM_HinhThucKham'!$B$2:$B$3)-ROW('DM_HinhThucKham'!$B$2)+1/ISNUMBER(SEARCH(SUBSTITUTE(UPPER($E457)," ",""),'DM_HinhThucKham'!$C$2:$C$3)),1)),"Không tìm thấy"))</f>
        <v/>
      </c>
      <c r="P457" s="5">
        <f>IF($K457="","",IFERROR(INDEX('DM_DanToc'!$B$2:$B$78,AGGREGATE(15,6,ROW('DM_DanToc'!$B$2:$B$78)-ROW('DM_DanToc'!$B$2)+1/ISNUMBER(SEARCH(SUBSTITUTE(UPPER($K457)," ",""),'DM_DanToc'!$C$2:$C$78)),1)),"Không tìm thấy"))</f>
        <v/>
      </c>
      <c r="W457" s="5">
        <f>IF($Q457="","",IFERROR(INDEX('DM_TinhThanh'!$B$2:$B$35,AGGREGATE(15,6,ROW('DM_TinhThanh'!$B$2:$B$35)-ROW('DM_TinhThanh'!$B$2)+1/ISNUMBER(SEARCH(SUBSTITUTE(UPPER($Q457)," ",""),'DM_TinhThanh'!$C$2:$C$35)),1)),"Không tìm thấy"))</f>
        <v/>
      </c>
      <c r="Y457" s="5">
        <f>IF($R457="","",IFERROR(INDEX('DM_XaPhuong'!$B$2:$B$169,AGGREGATE(15,6,ROW('DM_XaPhuong'!$B$2:$B$169)-ROW('DM_XaPhuong'!$B$2)+1/ISNUMBER(SEARCH(SUBSTITUTE(UPPER($R457)," ",""),'DM_XaPhuong'!$C$2:$C$169)),1)),"Không tìm thấy"))</f>
        <v/>
      </c>
      <c r="AB457" s="5">
        <f>IF($T457="","",IFERROR(INDEX('DM_NgheNghiep'!$B$2:$B$11,AGGREGATE(15,6,ROW('DM_NgheNghiep'!$B$2:$B$11)-ROW('DM_NgheNghiep'!$B$2)+1/ISNUMBER(SEARCH(SUBSTITUTE(UPPER($T457)," ",""),'DM_NgheNghiep'!$C$2:$C$11)),1)),"Không tìm thấy"))</f>
        <v/>
      </c>
      <c r="AD457" s="5">
        <f>IF($U457="","",IFERROR(INDEX('DM_NoiCongTac'!$B$2:$B$11,AGGREGATE(15,6,ROW('DM_NoiCongTac'!$B$2:$B$11)-ROW('DM_NoiCongTac'!$B$2)+1/ISNUMBER(SEARCH(SUBSTITUTE(UPPER($U457)," ",""),'DM_NoiCongTac'!$C$2:$C$11)),1)),"Không tìm thấy"))</f>
        <v/>
      </c>
      <c r="AF457" s="5">
        <f>IF($V457="","",IFERROR(INDEX('DM_XaPhuong'!$B$2:$B$169,AGGREGATE(15,6,ROW('DM_XaPhuong'!$B$2:$B$169)-ROW('DM_XaPhuong'!$B$2)+1/ISNUMBER(SEARCH(SUBSTITUTE(UPPER($V457)," ",""),'DM_XaPhuong'!$C$2:$C$169)),1)),"Không tìm thấy"))</f>
        <v/>
      </c>
    </row>
    <row r="458">
      <c r="C458" s="5">
        <f>IF($B458="","",IFERROR(INDEX('DM_DoiTuong'!$B$2:$B$19,AGGREGATE(15,6,ROW('DM_DoiTuong'!$B$2:$B$19)-ROW('DM_DoiTuong'!$B$2)+1/ISNUMBER(SEARCH(SUBSTITUTE(UPPER($B458)," ",""),'DM_DoiTuong'!$C$2:$C$19)),1)),"Không tìm thấy"))</f>
        <v/>
      </c>
      <c r="E458" s="5">
        <f>IF($C458="","",IFERROR(INDEX('DM_DiaDiemKham'!$B$2:$B$6,AGGREGATE(15,6,ROW('DM_DiaDiemKham'!$B$2:$B$6)-ROW('DM_DiaDiemKham'!$B$2)+1/ISNUMBER(SEARCH(SUBSTITUTE(UPPER($C458)," ",""),'DM_DiaDiemKham'!$C$2:$C$6)),1)),"Không tìm thấy"))</f>
        <v/>
      </c>
      <c r="G458" s="5">
        <f>IF($D458="","",IFERROR(INDEX('DM_HinhThucChiTra'!$B$2:$B$5,AGGREGATE(15,6,ROW('DM_HinhThucChiTra'!$B$2:$B$5)-ROW('DM_HinhThucChiTra'!$B$2)+1/ISNUMBER(SEARCH(SUBSTITUTE(UPPER($D458)," ",""),'DM_HinhThucChiTra'!$C$2:$C$5)),1)),"Không tìm thấy"))</f>
        <v/>
      </c>
      <c r="I458" s="5">
        <f>IF($E458="","",IFERROR(INDEX('DM_HinhThucKham'!$B$2:$B$3,AGGREGATE(15,6,ROW('DM_HinhThucKham'!$B$2:$B$3)-ROW('DM_HinhThucKham'!$B$2)+1/ISNUMBER(SEARCH(SUBSTITUTE(UPPER($E458)," ",""),'DM_HinhThucKham'!$C$2:$C$3)),1)),"Không tìm thấy"))</f>
        <v/>
      </c>
      <c r="P458" s="5">
        <f>IF($K458="","",IFERROR(INDEX('DM_DanToc'!$B$2:$B$78,AGGREGATE(15,6,ROW('DM_DanToc'!$B$2:$B$78)-ROW('DM_DanToc'!$B$2)+1/ISNUMBER(SEARCH(SUBSTITUTE(UPPER($K458)," ",""),'DM_DanToc'!$C$2:$C$78)),1)),"Không tìm thấy"))</f>
        <v/>
      </c>
      <c r="W458" s="5">
        <f>IF($Q458="","",IFERROR(INDEX('DM_TinhThanh'!$B$2:$B$35,AGGREGATE(15,6,ROW('DM_TinhThanh'!$B$2:$B$35)-ROW('DM_TinhThanh'!$B$2)+1/ISNUMBER(SEARCH(SUBSTITUTE(UPPER($Q458)," ",""),'DM_TinhThanh'!$C$2:$C$35)),1)),"Không tìm thấy"))</f>
        <v/>
      </c>
      <c r="Y458" s="5">
        <f>IF($R458="","",IFERROR(INDEX('DM_XaPhuong'!$B$2:$B$169,AGGREGATE(15,6,ROW('DM_XaPhuong'!$B$2:$B$169)-ROW('DM_XaPhuong'!$B$2)+1/ISNUMBER(SEARCH(SUBSTITUTE(UPPER($R458)," ",""),'DM_XaPhuong'!$C$2:$C$169)),1)),"Không tìm thấy"))</f>
        <v/>
      </c>
      <c r="AB458" s="5">
        <f>IF($T458="","",IFERROR(INDEX('DM_NgheNghiep'!$B$2:$B$11,AGGREGATE(15,6,ROW('DM_NgheNghiep'!$B$2:$B$11)-ROW('DM_NgheNghiep'!$B$2)+1/ISNUMBER(SEARCH(SUBSTITUTE(UPPER($T458)," ",""),'DM_NgheNghiep'!$C$2:$C$11)),1)),"Không tìm thấy"))</f>
        <v/>
      </c>
      <c r="AD458" s="5">
        <f>IF($U458="","",IFERROR(INDEX('DM_NoiCongTac'!$B$2:$B$11,AGGREGATE(15,6,ROW('DM_NoiCongTac'!$B$2:$B$11)-ROW('DM_NoiCongTac'!$B$2)+1/ISNUMBER(SEARCH(SUBSTITUTE(UPPER($U458)," ",""),'DM_NoiCongTac'!$C$2:$C$11)),1)),"Không tìm thấy"))</f>
        <v/>
      </c>
      <c r="AF458" s="5">
        <f>IF($V458="","",IFERROR(INDEX('DM_XaPhuong'!$B$2:$B$169,AGGREGATE(15,6,ROW('DM_XaPhuong'!$B$2:$B$169)-ROW('DM_XaPhuong'!$B$2)+1/ISNUMBER(SEARCH(SUBSTITUTE(UPPER($V458)," ",""),'DM_XaPhuong'!$C$2:$C$169)),1)),"Không tìm thấy"))</f>
        <v/>
      </c>
    </row>
    <row r="459">
      <c r="C459" s="5">
        <f>IF($B459="","",IFERROR(INDEX('DM_DoiTuong'!$B$2:$B$19,AGGREGATE(15,6,ROW('DM_DoiTuong'!$B$2:$B$19)-ROW('DM_DoiTuong'!$B$2)+1/ISNUMBER(SEARCH(SUBSTITUTE(UPPER($B459)," ",""),'DM_DoiTuong'!$C$2:$C$19)),1)),"Không tìm thấy"))</f>
        <v/>
      </c>
      <c r="E459" s="5">
        <f>IF($C459="","",IFERROR(INDEX('DM_DiaDiemKham'!$B$2:$B$6,AGGREGATE(15,6,ROW('DM_DiaDiemKham'!$B$2:$B$6)-ROW('DM_DiaDiemKham'!$B$2)+1/ISNUMBER(SEARCH(SUBSTITUTE(UPPER($C459)," ",""),'DM_DiaDiemKham'!$C$2:$C$6)),1)),"Không tìm thấy"))</f>
        <v/>
      </c>
      <c r="G459" s="5">
        <f>IF($D459="","",IFERROR(INDEX('DM_HinhThucChiTra'!$B$2:$B$5,AGGREGATE(15,6,ROW('DM_HinhThucChiTra'!$B$2:$B$5)-ROW('DM_HinhThucChiTra'!$B$2)+1/ISNUMBER(SEARCH(SUBSTITUTE(UPPER($D459)," ",""),'DM_HinhThucChiTra'!$C$2:$C$5)),1)),"Không tìm thấy"))</f>
        <v/>
      </c>
      <c r="I459" s="5">
        <f>IF($E459="","",IFERROR(INDEX('DM_HinhThucKham'!$B$2:$B$3,AGGREGATE(15,6,ROW('DM_HinhThucKham'!$B$2:$B$3)-ROW('DM_HinhThucKham'!$B$2)+1/ISNUMBER(SEARCH(SUBSTITUTE(UPPER($E459)," ",""),'DM_HinhThucKham'!$C$2:$C$3)),1)),"Không tìm thấy"))</f>
        <v/>
      </c>
      <c r="P459" s="5">
        <f>IF($K459="","",IFERROR(INDEX('DM_DanToc'!$B$2:$B$78,AGGREGATE(15,6,ROW('DM_DanToc'!$B$2:$B$78)-ROW('DM_DanToc'!$B$2)+1/ISNUMBER(SEARCH(SUBSTITUTE(UPPER($K459)," ",""),'DM_DanToc'!$C$2:$C$78)),1)),"Không tìm thấy"))</f>
        <v/>
      </c>
      <c r="W459" s="5">
        <f>IF($Q459="","",IFERROR(INDEX('DM_TinhThanh'!$B$2:$B$35,AGGREGATE(15,6,ROW('DM_TinhThanh'!$B$2:$B$35)-ROW('DM_TinhThanh'!$B$2)+1/ISNUMBER(SEARCH(SUBSTITUTE(UPPER($Q459)," ",""),'DM_TinhThanh'!$C$2:$C$35)),1)),"Không tìm thấy"))</f>
        <v/>
      </c>
      <c r="Y459" s="5">
        <f>IF($R459="","",IFERROR(INDEX('DM_XaPhuong'!$B$2:$B$169,AGGREGATE(15,6,ROW('DM_XaPhuong'!$B$2:$B$169)-ROW('DM_XaPhuong'!$B$2)+1/ISNUMBER(SEARCH(SUBSTITUTE(UPPER($R459)," ",""),'DM_XaPhuong'!$C$2:$C$169)),1)),"Không tìm thấy"))</f>
        <v/>
      </c>
      <c r="AB459" s="5">
        <f>IF($T459="","",IFERROR(INDEX('DM_NgheNghiep'!$B$2:$B$11,AGGREGATE(15,6,ROW('DM_NgheNghiep'!$B$2:$B$11)-ROW('DM_NgheNghiep'!$B$2)+1/ISNUMBER(SEARCH(SUBSTITUTE(UPPER($T459)," ",""),'DM_NgheNghiep'!$C$2:$C$11)),1)),"Không tìm thấy"))</f>
        <v/>
      </c>
      <c r="AD459" s="5">
        <f>IF($U459="","",IFERROR(INDEX('DM_NoiCongTac'!$B$2:$B$11,AGGREGATE(15,6,ROW('DM_NoiCongTac'!$B$2:$B$11)-ROW('DM_NoiCongTac'!$B$2)+1/ISNUMBER(SEARCH(SUBSTITUTE(UPPER($U459)," ",""),'DM_NoiCongTac'!$C$2:$C$11)),1)),"Không tìm thấy"))</f>
        <v/>
      </c>
      <c r="AF459" s="5">
        <f>IF($V459="","",IFERROR(INDEX('DM_XaPhuong'!$B$2:$B$169,AGGREGATE(15,6,ROW('DM_XaPhuong'!$B$2:$B$169)-ROW('DM_XaPhuong'!$B$2)+1/ISNUMBER(SEARCH(SUBSTITUTE(UPPER($V459)," ",""),'DM_XaPhuong'!$C$2:$C$169)),1)),"Không tìm thấy"))</f>
        <v/>
      </c>
    </row>
    <row r="460">
      <c r="C460" s="5">
        <f>IF($B460="","",IFERROR(INDEX('DM_DoiTuong'!$B$2:$B$19,AGGREGATE(15,6,ROW('DM_DoiTuong'!$B$2:$B$19)-ROW('DM_DoiTuong'!$B$2)+1/ISNUMBER(SEARCH(SUBSTITUTE(UPPER($B460)," ",""),'DM_DoiTuong'!$C$2:$C$19)),1)),"Không tìm thấy"))</f>
        <v/>
      </c>
      <c r="E460" s="5">
        <f>IF($C460="","",IFERROR(INDEX('DM_DiaDiemKham'!$B$2:$B$6,AGGREGATE(15,6,ROW('DM_DiaDiemKham'!$B$2:$B$6)-ROW('DM_DiaDiemKham'!$B$2)+1/ISNUMBER(SEARCH(SUBSTITUTE(UPPER($C460)," ",""),'DM_DiaDiemKham'!$C$2:$C$6)),1)),"Không tìm thấy"))</f>
        <v/>
      </c>
      <c r="G460" s="5">
        <f>IF($D460="","",IFERROR(INDEX('DM_HinhThucChiTra'!$B$2:$B$5,AGGREGATE(15,6,ROW('DM_HinhThucChiTra'!$B$2:$B$5)-ROW('DM_HinhThucChiTra'!$B$2)+1/ISNUMBER(SEARCH(SUBSTITUTE(UPPER($D460)," ",""),'DM_HinhThucChiTra'!$C$2:$C$5)),1)),"Không tìm thấy"))</f>
        <v/>
      </c>
      <c r="I460" s="5">
        <f>IF($E460="","",IFERROR(INDEX('DM_HinhThucKham'!$B$2:$B$3,AGGREGATE(15,6,ROW('DM_HinhThucKham'!$B$2:$B$3)-ROW('DM_HinhThucKham'!$B$2)+1/ISNUMBER(SEARCH(SUBSTITUTE(UPPER($E460)," ",""),'DM_HinhThucKham'!$C$2:$C$3)),1)),"Không tìm thấy"))</f>
        <v/>
      </c>
      <c r="P460" s="5">
        <f>IF($K460="","",IFERROR(INDEX('DM_DanToc'!$B$2:$B$78,AGGREGATE(15,6,ROW('DM_DanToc'!$B$2:$B$78)-ROW('DM_DanToc'!$B$2)+1/ISNUMBER(SEARCH(SUBSTITUTE(UPPER($K460)," ",""),'DM_DanToc'!$C$2:$C$78)),1)),"Không tìm thấy"))</f>
        <v/>
      </c>
      <c r="W460" s="5">
        <f>IF($Q460="","",IFERROR(INDEX('DM_TinhThanh'!$B$2:$B$35,AGGREGATE(15,6,ROW('DM_TinhThanh'!$B$2:$B$35)-ROW('DM_TinhThanh'!$B$2)+1/ISNUMBER(SEARCH(SUBSTITUTE(UPPER($Q460)," ",""),'DM_TinhThanh'!$C$2:$C$35)),1)),"Không tìm thấy"))</f>
        <v/>
      </c>
      <c r="Y460" s="5">
        <f>IF($R460="","",IFERROR(INDEX('DM_XaPhuong'!$B$2:$B$169,AGGREGATE(15,6,ROW('DM_XaPhuong'!$B$2:$B$169)-ROW('DM_XaPhuong'!$B$2)+1/ISNUMBER(SEARCH(SUBSTITUTE(UPPER($R460)," ",""),'DM_XaPhuong'!$C$2:$C$169)),1)),"Không tìm thấy"))</f>
        <v/>
      </c>
      <c r="AB460" s="5">
        <f>IF($T460="","",IFERROR(INDEX('DM_NgheNghiep'!$B$2:$B$11,AGGREGATE(15,6,ROW('DM_NgheNghiep'!$B$2:$B$11)-ROW('DM_NgheNghiep'!$B$2)+1/ISNUMBER(SEARCH(SUBSTITUTE(UPPER($T460)," ",""),'DM_NgheNghiep'!$C$2:$C$11)),1)),"Không tìm thấy"))</f>
        <v/>
      </c>
      <c r="AD460" s="5">
        <f>IF($U460="","",IFERROR(INDEX('DM_NoiCongTac'!$B$2:$B$11,AGGREGATE(15,6,ROW('DM_NoiCongTac'!$B$2:$B$11)-ROW('DM_NoiCongTac'!$B$2)+1/ISNUMBER(SEARCH(SUBSTITUTE(UPPER($U460)," ",""),'DM_NoiCongTac'!$C$2:$C$11)),1)),"Không tìm thấy"))</f>
        <v/>
      </c>
      <c r="AF460" s="5">
        <f>IF($V460="","",IFERROR(INDEX('DM_XaPhuong'!$B$2:$B$169,AGGREGATE(15,6,ROW('DM_XaPhuong'!$B$2:$B$169)-ROW('DM_XaPhuong'!$B$2)+1/ISNUMBER(SEARCH(SUBSTITUTE(UPPER($V460)," ",""),'DM_XaPhuong'!$C$2:$C$169)),1)),"Không tìm thấy"))</f>
        <v/>
      </c>
    </row>
    <row r="461">
      <c r="C461" s="5">
        <f>IF($B461="","",IFERROR(INDEX('DM_DoiTuong'!$B$2:$B$19,AGGREGATE(15,6,ROW('DM_DoiTuong'!$B$2:$B$19)-ROW('DM_DoiTuong'!$B$2)+1/ISNUMBER(SEARCH(SUBSTITUTE(UPPER($B461)," ",""),'DM_DoiTuong'!$C$2:$C$19)),1)),"Không tìm thấy"))</f>
        <v/>
      </c>
      <c r="E461" s="5">
        <f>IF($C461="","",IFERROR(INDEX('DM_DiaDiemKham'!$B$2:$B$6,AGGREGATE(15,6,ROW('DM_DiaDiemKham'!$B$2:$B$6)-ROW('DM_DiaDiemKham'!$B$2)+1/ISNUMBER(SEARCH(SUBSTITUTE(UPPER($C461)," ",""),'DM_DiaDiemKham'!$C$2:$C$6)),1)),"Không tìm thấy"))</f>
        <v/>
      </c>
      <c r="G461" s="5">
        <f>IF($D461="","",IFERROR(INDEX('DM_HinhThucChiTra'!$B$2:$B$5,AGGREGATE(15,6,ROW('DM_HinhThucChiTra'!$B$2:$B$5)-ROW('DM_HinhThucChiTra'!$B$2)+1/ISNUMBER(SEARCH(SUBSTITUTE(UPPER($D461)," ",""),'DM_HinhThucChiTra'!$C$2:$C$5)),1)),"Không tìm thấy"))</f>
        <v/>
      </c>
      <c r="I461" s="5">
        <f>IF($E461="","",IFERROR(INDEX('DM_HinhThucKham'!$B$2:$B$3,AGGREGATE(15,6,ROW('DM_HinhThucKham'!$B$2:$B$3)-ROW('DM_HinhThucKham'!$B$2)+1/ISNUMBER(SEARCH(SUBSTITUTE(UPPER($E461)," ",""),'DM_HinhThucKham'!$C$2:$C$3)),1)),"Không tìm thấy"))</f>
        <v/>
      </c>
      <c r="P461" s="5">
        <f>IF($K461="","",IFERROR(INDEX('DM_DanToc'!$B$2:$B$78,AGGREGATE(15,6,ROW('DM_DanToc'!$B$2:$B$78)-ROW('DM_DanToc'!$B$2)+1/ISNUMBER(SEARCH(SUBSTITUTE(UPPER($K461)," ",""),'DM_DanToc'!$C$2:$C$78)),1)),"Không tìm thấy"))</f>
        <v/>
      </c>
      <c r="W461" s="5">
        <f>IF($Q461="","",IFERROR(INDEX('DM_TinhThanh'!$B$2:$B$35,AGGREGATE(15,6,ROW('DM_TinhThanh'!$B$2:$B$35)-ROW('DM_TinhThanh'!$B$2)+1/ISNUMBER(SEARCH(SUBSTITUTE(UPPER($Q461)," ",""),'DM_TinhThanh'!$C$2:$C$35)),1)),"Không tìm thấy"))</f>
        <v/>
      </c>
      <c r="Y461" s="5">
        <f>IF($R461="","",IFERROR(INDEX('DM_XaPhuong'!$B$2:$B$169,AGGREGATE(15,6,ROW('DM_XaPhuong'!$B$2:$B$169)-ROW('DM_XaPhuong'!$B$2)+1/ISNUMBER(SEARCH(SUBSTITUTE(UPPER($R461)," ",""),'DM_XaPhuong'!$C$2:$C$169)),1)),"Không tìm thấy"))</f>
        <v/>
      </c>
      <c r="AB461" s="5">
        <f>IF($T461="","",IFERROR(INDEX('DM_NgheNghiep'!$B$2:$B$11,AGGREGATE(15,6,ROW('DM_NgheNghiep'!$B$2:$B$11)-ROW('DM_NgheNghiep'!$B$2)+1/ISNUMBER(SEARCH(SUBSTITUTE(UPPER($T461)," ",""),'DM_NgheNghiep'!$C$2:$C$11)),1)),"Không tìm thấy"))</f>
        <v/>
      </c>
      <c r="AD461" s="5">
        <f>IF($U461="","",IFERROR(INDEX('DM_NoiCongTac'!$B$2:$B$11,AGGREGATE(15,6,ROW('DM_NoiCongTac'!$B$2:$B$11)-ROW('DM_NoiCongTac'!$B$2)+1/ISNUMBER(SEARCH(SUBSTITUTE(UPPER($U461)," ",""),'DM_NoiCongTac'!$C$2:$C$11)),1)),"Không tìm thấy"))</f>
        <v/>
      </c>
      <c r="AF461" s="5">
        <f>IF($V461="","",IFERROR(INDEX('DM_XaPhuong'!$B$2:$B$169,AGGREGATE(15,6,ROW('DM_XaPhuong'!$B$2:$B$169)-ROW('DM_XaPhuong'!$B$2)+1/ISNUMBER(SEARCH(SUBSTITUTE(UPPER($V461)," ",""),'DM_XaPhuong'!$C$2:$C$169)),1)),"Không tìm thấy"))</f>
        <v/>
      </c>
    </row>
    <row r="462">
      <c r="C462" s="5">
        <f>IF($B462="","",IFERROR(INDEX('DM_DoiTuong'!$B$2:$B$19,AGGREGATE(15,6,ROW('DM_DoiTuong'!$B$2:$B$19)-ROW('DM_DoiTuong'!$B$2)+1/ISNUMBER(SEARCH(SUBSTITUTE(UPPER($B462)," ",""),'DM_DoiTuong'!$C$2:$C$19)),1)),"Không tìm thấy"))</f>
        <v/>
      </c>
      <c r="E462" s="5">
        <f>IF($C462="","",IFERROR(INDEX('DM_DiaDiemKham'!$B$2:$B$6,AGGREGATE(15,6,ROW('DM_DiaDiemKham'!$B$2:$B$6)-ROW('DM_DiaDiemKham'!$B$2)+1/ISNUMBER(SEARCH(SUBSTITUTE(UPPER($C462)," ",""),'DM_DiaDiemKham'!$C$2:$C$6)),1)),"Không tìm thấy"))</f>
        <v/>
      </c>
      <c r="G462" s="5">
        <f>IF($D462="","",IFERROR(INDEX('DM_HinhThucChiTra'!$B$2:$B$5,AGGREGATE(15,6,ROW('DM_HinhThucChiTra'!$B$2:$B$5)-ROW('DM_HinhThucChiTra'!$B$2)+1/ISNUMBER(SEARCH(SUBSTITUTE(UPPER($D462)," ",""),'DM_HinhThucChiTra'!$C$2:$C$5)),1)),"Không tìm thấy"))</f>
        <v/>
      </c>
      <c r="I462" s="5">
        <f>IF($E462="","",IFERROR(INDEX('DM_HinhThucKham'!$B$2:$B$3,AGGREGATE(15,6,ROW('DM_HinhThucKham'!$B$2:$B$3)-ROW('DM_HinhThucKham'!$B$2)+1/ISNUMBER(SEARCH(SUBSTITUTE(UPPER($E462)," ",""),'DM_HinhThucKham'!$C$2:$C$3)),1)),"Không tìm thấy"))</f>
        <v/>
      </c>
      <c r="P462" s="5">
        <f>IF($K462="","",IFERROR(INDEX('DM_DanToc'!$B$2:$B$78,AGGREGATE(15,6,ROW('DM_DanToc'!$B$2:$B$78)-ROW('DM_DanToc'!$B$2)+1/ISNUMBER(SEARCH(SUBSTITUTE(UPPER($K462)," ",""),'DM_DanToc'!$C$2:$C$78)),1)),"Không tìm thấy"))</f>
        <v/>
      </c>
      <c r="W462" s="5">
        <f>IF($Q462="","",IFERROR(INDEX('DM_TinhThanh'!$B$2:$B$35,AGGREGATE(15,6,ROW('DM_TinhThanh'!$B$2:$B$35)-ROW('DM_TinhThanh'!$B$2)+1/ISNUMBER(SEARCH(SUBSTITUTE(UPPER($Q462)," ",""),'DM_TinhThanh'!$C$2:$C$35)),1)),"Không tìm thấy"))</f>
        <v/>
      </c>
      <c r="Y462" s="5">
        <f>IF($R462="","",IFERROR(INDEX('DM_XaPhuong'!$B$2:$B$169,AGGREGATE(15,6,ROW('DM_XaPhuong'!$B$2:$B$169)-ROW('DM_XaPhuong'!$B$2)+1/ISNUMBER(SEARCH(SUBSTITUTE(UPPER($R462)," ",""),'DM_XaPhuong'!$C$2:$C$169)),1)),"Không tìm thấy"))</f>
        <v/>
      </c>
      <c r="AB462" s="5">
        <f>IF($T462="","",IFERROR(INDEX('DM_NgheNghiep'!$B$2:$B$11,AGGREGATE(15,6,ROW('DM_NgheNghiep'!$B$2:$B$11)-ROW('DM_NgheNghiep'!$B$2)+1/ISNUMBER(SEARCH(SUBSTITUTE(UPPER($T462)," ",""),'DM_NgheNghiep'!$C$2:$C$11)),1)),"Không tìm thấy"))</f>
        <v/>
      </c>
      <c r="AD462" s="5">
        <f>IF($U462="","",IFERROR(INDEX('DM_NoiCongTac'!$B$2:$B$11,AGGREGATE(15,6,ROW('DM_NoiCongTac'!$B$2:$B$11)-ROW('DM_NoiCongTac'!$B$2)+1/ISNUMBER(SEARCH(SUBSTITUTE(UPPER($U462)," ",""),'DM_NoiCongTac'!$C$2:$C$11)),1)),"Không tìm thấy"))</f>
        <v/>
      </c>
      <c r="AF462" s="5">
        <f>IF($V462="","",IFERROR(INDEX('DM_XaPhuong'!$B$2:$B$169,AGGREGATE(15,6,ROW('DM_XaPhuong'!$B$2:$B$169)-ROW('DM_XaPhuong'!$B$2)+1/ISNUMBER(SEARCH(SUBSTITUTE(UPPER($V462)," ",""),'DM_XaPhuong'!$C$2:$C$169)),1)),"Không tìm thấy"))</f>
        <v/>
      </c>
    </row>
    <row r="463">
      <c r="C463" s="5">
        <f>IF($B463="","",IFERROR(INDEX('DM_DoiTuong'!$B$2:$B$19,AGGREGATE(15,6,ROW('DM_DoiTuong'!$B$2:$B$19)-ROW('DM_DoiTuong'!$B$2)+1/ISNUMBER(SEARCH(SUBSTITUTE(UPPER($B463)," ",""),'DM_DoiTuong'!$C$2:$C$19)),1)),"Không tìm thấy"))</f>
        <v/>
      </c>
      <c r="E463" s="5">
        <f>IF($C463="","",IFERROR(INDEX('DM_DiaDiemKham'!$B$2:$B$6,AGGREGATE(15,6,ROW('DM_DiaDiemKham'!$B$2:$B$6)-ROW('DM_DiaDiemKham'!$B$2)+1/ISNUMBER(SEARCH(SUBSTITUTE(UPPER($C463)," ",""),'DM_DiaDiemKham'!$C$2:$C$6)),1)),"Không tìm thấy"))</f>
        <v/>
      </c>
      <c r="G463" s="5">
        <f>IF($D463="","",IFERROR(INDEX('DM_HinhThucChiTra'!$B$2:$B$5,AGGREGATE(15,6,ROW('DM_HinhThucChiTra'!$B$2:$B$5)-ROW('DM_HinhThucChiTra'!$B$2)+1/ISNUMBER(SEARCH(SUBSTITUTE(UPPER($D463)," ",""),'DM_HinhThucChiTra'!$C$2:$C$5)),1)),"Không tìm thấy"))</f>
        <v/>
      </c>
      <c r="I463" s="5">
        <f>IF($E463="","",IFERROR(INDEX('DM_HinhThucKham'!$B$2:$B$3,AGGREGATE(15,6,ROW('DM_HinhThucKham'!$B$2:$B$3)-ROW('DM_HinhThucKham'!$B$2)+1/ISNUMBER(SEARCH(SUBSTITUTE(UPPER($E463)," ",""),'DM_HinhThucKham'!$C$2:$C$3)),1)),"Không tìm thấy"))</f>
        <v/>
      </c>
      <c r="P463" s="5">
        <f>IF($K463="","",IFERROR(INDEX('DM_DanToc'!$B$2:$B$78,AGGREGATE(15,6,ROW('DM_DanToc'!$B$2:$B$78)-ROW('DM_DanToc'!$B$2)+1/ISNUMBER(SEARCH(SUBSTITUTE(UPPER($K463)," ",""),'DM_DanToc'!$C$2:$C$78)),1)),"Không tìm thấy"))</f>
        <v/>
      </c>
      <c r="W463" s="5">
        <f>IF($Q463="","",IFERROR(INDEX('DM_TinhThanh'!$B$2:$B$35,AGGREGATE(15,6,ROW('DM_TinhThanh'!$B$2:$B$35)-ROW('DM_TinhThanh'!$B$2)+1/ISNUMBER(SEARCH(SUBSTITUTE(UPPER($Q463)," ",""),'DM_TinhThanh'!$C$2:$C$35)),1)),"Không tìm thấy"))</f>
        <v/>
      </c>
      <c r="Y463" s="5">
        <f>IF($R463="","",IFERROR(INDEX('DM_XaPhuong'!$B$2:$B$169,AGGREGATE(15,6,ROW('DM_XaPhuong'!$B$2:$B$169)-ROW('DM_XaPhuong'!$B$2)+1/ISNUMBER(SEARCH(SUBSTITUTE(UPPER($R463)," ",""),'DM_XaPhuong'!$C$2:$C$169)),1)),"Không tìm thấy"))</f>
        <v/>
      </c>
      <c r="AB463" s="5">
        <f>IF($T463="","",IFERROR(INDEX('DM_NgheNghiep'!$B$2:$B$11,AGGREGATE(15,6,ROW('DM_NgheNghiep'!$B$2:$B$11)-ROW('DM_NgheNghiep'!$B$2)+1/ISNUMBER(SEARCH(SUBSTITUTE(UPPER($T463)," ",""),'DM_NgheNghiep'!$C$2:$C$11)),1)),"Không tìm thấy"))</f>
        <v/>
      </c>
      <c r="AD463" s="5">
        <f>IF($U463="","",IFERROR(INDEX('DM_NoiCongTac'!$B$2:$B$11,AGGREGATE(15,6,ROW('DM_NoiCongTac'!$B$2:$B$11)-ROW('DM_NoiCongTac'!$B$2)+1/ISNUMBER(SEARCH(SUBSTITUTE(UPPER($U463)," ",""),'DM_NoiCongTac'!$C$2:$C$11)),1)),"Không tìm thấy"))</f>
        <v/>
      </c>
      <c r="AF463" s="5">
        <f>IF($V463="","",IFERROR(INDEX('DM_XaPhuong'!$B$2:$B$169,AGGREGATE(15,6,ROW('DM_XaPhuong'!$B$2:$B$169)-ROW('DM_XaPhuong'!$B$2)+1/ISNUMBER(SEARCH(SUBSTITUTE(UPPER($V463)," ",""),'DM_XaPhuong'!$C$2:$C$169)),1)),"Không tìm thấy"))</f>
        <v/>
      </c>
    </row>
    <row r="464">
      <c r="C464" s="5">
        <f>IF($B464="","",IFERROR(INDEX('DM_DoiTuong'!$B$2:$B$19,AGGREGATE(15,6,ROW('DM_DoiTuong'!$B$2:$B$19)-ROW('DM_DoiTuong'!$B$2)+1/ISNUMBER(SEARCH(SUBSTITUTE(UPPER($B464)," ",""),'DM_DoiTuong'!$C$2:$C$19)),1)),"Không tìm thấy"))</f>
        <v/>
      </c>
      <c r="E464" s="5">
        <f>IF($C464="","",IFERROR(INDEX('DM_DiaDiemKham'!$B$2:$B$6,AGGREGATE(15,6,ROW('DM_DiaDiemKham'!$B$2:$B$6)-ROW('DM_DiaDiemKham'!$B$2)+1/ISNUMBER(SEARCH(SUBSTITUTE(UPPER($C464)," ",""),'DM_DiaDiemKham'!$C$2:$C$6)),1)),"Không tìm thấy"))</f>
        <v/>
      </c>
      <c r="G464" s="5">
        <f>IF($D464="","",IFERROR(INDEX('DM_HinhThucChiTra'!$B$2:$B$5,AGGREGATE(15,6,ROW('DM_HinhThucChiTra'!$B$2:$B$5)-ROW('DM_HinhThucChiTra'!$B$2)+1/ISNUMBER(SEARCH(SUBSTITUTE(UPPER($D464)," ",""),'DM_HinhThucChiTra'!$C$2:$C$5)),1)),"Không tìm thấy"))</f>
        <v/>
      </c>
      <c r="I464" s="5">
        <f>IF($E464="","",IFERROR(INDEX('DM_HinhThucKham'!$B$2:$B$3,AGGREGATE(15,6,ROW('DM_HinhThucKham'!$B$2:$B$3)-ROW('DM_HinhThucKham'!$B$2)+1/ISNUMBER(SEARCH(SUBSTITUTE(UPPER($E464)," ",""),'DM_HinhThucKham'!$C$2:$C$3)),1)),"Không tìm thấy"))</f>
        <v/>
      </c>
      <c r="P464" s="5">
        <f>IF($K464="","",IFERROR(INDEX('DM_DanToc'!$B$2:$B$78,AGGREGATE(15,6,ROW('DM_DanToc'!$B$2:$B$78)-ROW('DM_DanToc'!$B$2)+1/ISNUMBER(SEARCH(SUBSTITUTE(UPPER($K464)," ",""),'DM_DanToc'!$C$2:$C$78)),1)),"Không tìm thấy"))</f>
        <v/>
      </c>
      <c r="W464" s="5">
        <f>IF($Q464="","",IFERROR(INDEX('DM_TinhThanh'!$B$2:$B$35,AGGREGATE(15,6,ROW('DM_TinhThanh'!$B$2:$B$35)-ROW('DM_TinhThanh'!$B$2)+1/ISNUMBER(SEARCH(SUBSTITUTE(UPPER($Q464)," ",""),'DM_TinhThanh'!$C$2:$C$35)),1)),"Không tìm thấy"))</f>
        <v/>
      </c>
      <c r="Y464" s="5">
        <f>IF($R464="","",IFERROR(INDEX('DM_XaPhuong'!$B$2:$B$169,AGGREGATE(15,6,ROW('DM_XaPhuong'!$B$2:$B$169)-ROW('DM_XaPhuong'!$B$2)+1/ISNUMBER(SEARCH(SUBSTITUTE(UPPER($R464)," ",""),'DM_XaPhuong'!$C$2:$C$169)),1)),"Không tìm thấy"))</f>
        <v/>
      </c>
      <c r="AB464" s="5">
        <f>IF($T464="","",IFERROR(INDEX('DM_NgheNghiep'!$B$2:$B$11,AGGREGATE(15,6,ROW('DM_NgheNghiep'!$B$2:$B$11)-ROW('DM_NgheNghiep'!$B$2)+1/ISNUMBER(SEARCH(SUBSTITUTE(UPPER($T464)," ",""),'DM_NgheNghiep'!$C$2:$C$11)),1)),"Không tìm thấy"))</f>
        <v/>
      </c>
      <c r="AD464" s="5">
        <f>IF($U464="","",IFERROR(INDEX('DM_NoiCongTac'!$B$2:$B$11,AGGREGATE(15,6,ROW('DM_NoiCongTac'!$B$2:$B$11)-ROW('DM_NoiCongTac'!$B$2)+1/ISNUMBER(SEARCH(SUBSTITUTE(UPPER($U464)," ",""),'DM_NoiCongTac'!$C$2:$C$11)),1)),"Không tìm thấy"))</f>
        <v/>
      </c>
      <c r="AF464" s="5">
        <f>IF($V464="","",IFERROR(INDEX('DM_XaPhuong'!$B$2:$B$169,AGGREGATE(15,6,ROW('DM_XaPhuong'!$B$2:$B$169)-ROW('DM_XaPhuong'!$B$2)+1/ISNUMBER(SEARCH(SUBSTITUTE(UPPER($V464)," ",""),'DM_XaPhuong'!$C$2:$C$169)),1)),"Không tìm thấy"))</f>
        <v/>
      </c>
    </row>
    <row r="465">
      <c r="C465" s="5">
        <f>IF($B465="","",IFERROR(INDEX('DM_DoiTuong'!$B$2:$B$19,AGGREGATE(15,6,ROW('DM_DoiTuong'!$B$2:$B$19)-ROW('DM_DoiTuong'!$B$2)+1/ISNUMBER(SEARCH(SUBSTITUTE(UPPER($B465)," ",""),'DM_DoiTuong'!$C$2:$C$19)),1)),"Không tìm thấy"))</f>
        <v/>
      </c>
      <c r="E465" s="5">
        <f>IF($C465="","",IFERROR(INDEX('DM_DiaDiemKham'!$B$2:$B$6,AGGREGATE(15,6,ROW('DM_DiaDiemKham'!$B$2:$B$6)-ROW('DM_DiaDiemKham'!$B$2)+1/ISNUMBER(SEARCH(SUBSTITUTE(UPPER($C465)," ",""),'DM_DiaDiemKham'!$C$2:$C$6)),1)),"Không tìm thấy"))</f>
        <v/>
      </c>
      <c r="G465" s="5">
        <f>IF($D465="","",IFERROR(INDEX('DM_HinhThucChiTra'!$B$2:$B$5,AGGREGATE(15,6,ROW('DM_HinhThucChiTra'!$B$2:$B$5)-ROW('DM_HinhThucChiTra'!$B$2)+1/ISNUMBER(SEARCH(SUBSTITUTE(UPPER($D465)," ",""),'DM_HinhThucChiTra'!$C$2:$C$5)),1)),"Không tìm thấy"))</f>
        <v/>
      </c>
      <c r="I465" s="5">
        <f>IF($E465="","",IFERROR(INDEX('DM_HinhThucKham'!$B$2:$B$3,AGGREGATE(15,6,ROW('DM_HinhThucKham'!$B$2:$B$3)-ROW('DM_HinhThucKham'!$B$2)+1/ISNUMBER(SEARCH(SUBSTITUTE(UPPER($E465)," ",""),'DM_HinhThucKham'!$C$2:$C$3)),1)),"Không tìm thấy"))</f>
        <v/>
      </c>
      <c r="P465" s="5">
        <f>IF($K465="","",IFERROR(INDEX('DM_DanToc'!$B$2:$B$78,AGGREGATE(15,6,ROW('DM_DanToc'!$B$2:$B$78)-ROW('DM_DanToc'!$B$2)+1/ISNUMBER(SEARCH(SUBSTITUTE(UPPER($K465)," ",""),'DM_DanToc'!$C$2:$C$78)),1)),"Không tìm thấy"))</f>
        <v/>
      </c>
      <c r="W465" s="5">
        <f>IF($Q465="","",IFERROR(INDEX('DM_TinhThanh'!$B$2:$B$35,AGGREGATE(15,6,ROW('DM_TinhThanh'!$B$2:$B$35)-ROW('DM_TinhThanh'!$B$2)+1/ISNUMBER(SEARCH(SUBSTITUTE(UPPER($Q465)," ",""),'DM_TinhThanh'!$C$2:$C$35)),1)),"Không tìm thấy"))</f>
        <v/>
      </c>
      <c r="Y465" s="5">
        <f>IF($R465="","",IFERROR(INDEX('DM_XaPhuong'!$B$2:$B$169,AGGREGATE(15,6,ROW('DM_XaPhuong'!$B$2:$B$169)-ROW('DM_XaPhuong'!$B$2)+1/ISNUMBER(SEARCH(SUBSTITUTE(UPPER($R465)," ",""),'DM_XaPhuong'!$C$2:$C$169)),1)),"Không tìm thấy"))</f>
        <v/>
      </c>
      <c r="AB465" s="5">
        <f>IF($T465="","",IFERROR(INDEX('DM_NgheNghiep'!$B$2:$B$11,AGGREGATE(15,6,ROW('DM_NgheNghiep'!$B$2:$B$11)-ROW('DM_NgheNghiep'!$B$2)+1/ISNUMBER(SEARCH(SUBSTITUTE(UPPER($T465)," ",""),'DM_NgheNghiep'!$C$2:$C$11)),1)),"Không tìm thấy"))</f>
        <v/>
      </c>
      <c r="AD465" s="5">
        <f>IF($U465="","",IFERROR(INDEX('DM_NoiCongTac'!$B$2:$B$11,AGGREGATE(15,6,ROW('DM_NoiCongTac'!$B$2:$B$11)-ROW('DM_NoiCongTac'!$B$2)+1/ISNUMBER(SEARCH(SUBSTITUTE(UPPER($U465)," ",""),'DM_NoiCongTac'!$C$2:$C$11)),1)),"Không tìm thấy"))</f>
        <v/>
      </c>
      <c r="AF465" s="5">
        <f>IF($V465="","",IFERROR(INDEX('DM_XaPhuong'!$B$2:$B$169,AGGREGATE(15,6,ROW('DM_XaPhuong'!$B$2:$B$169)-ROW('DM_XaPhuong'!$B$2)+1/ISNUMBER(SEARCH(SUBSTITUTE(UPPER($V465)," ",""),'DM_XaPhuong'!$C$2:$C$169)),1)),"Không tìm thấy"))</f>
        <v/>
      </c>
    </row>
    <row r="466">
      <c r="C466" s="5">
        <f>IF($B466="","",IFERROR(INDEX('DM_DoiTuong'!$B$2:$B$19,AGGREGATE(15,6,ROW('DM_DoiTuong'!$B$2:$B$19)-ROW('DM_DoiTuong'!$B$2)+1/ISNUMBER(SEARCH(SUBSTITUTE(UPPER($B466)," ",""),'DM_DoiTuong'!$C$2:$C$19)),1)),"Không tìm thấy"))</f>
        <v/>
      </c>
      <c r="E466" s="5">
        <f>IF($C466="","",IFERROR(INDEX('DM_DiaDiemKham'!$B$2:$B$6,AGGREGATE(15,6,ROW('DM_DiaDiemKham'!$B$2:$B$6)-ROW('DM_DiaDiemKham'!$B$2)+1/ISNUMBER(SEARCH(SUBSTITUTE(UPPER($C466)," ",""),'DM_DiaDiemKham'!$C$2:$C$6)),1)),"Không tìm thấy"))</f>
        <v/>
      </c>
      <c r="G466" s="5">
        <f>IF($D466="","",IFERROR(INDEX('DM_HinhThucChiTra'!$B$2:$B$5,AGGREGATE(15,6,ROW('DM_HinhThucChiTra'!$B$2:$B$5)-ROW('DM_HinhThucChiTra'!$B$2)+1/ISNUMBER(SEARCH(SUBSTITUTE(UPPER($D466)," ",""),'DM_HinhThucChiTra'!$C$2:$C$5)),1)),"Không tìm thấy"))</f>
        <v/>
      </c>
      <c r="I466" s="5">
        <f>IF($E466="","",IFERROR(INDEX('DM_HinhThucKham'!$B$2:$B$3,AGGREGATE(15,6,ROW('DM_HinhThucKham'!$B$2:$B$3)-ROW('DM_HinhThucKham'!$B$2)+1/ISNUMBER(SEARCH(SUBSTITUTE(UPPER($E466)," ",""),'DM_HinhThucKham'!$C$2:$C$3)),1)),"Không tìm thấy"))</f>
        <v/>
      </c>
      <c r="P466" s="5">
        <f>IF($K466="","",IFERROR(INDEX('DM_DanToc'!$B$2:$B$78,AGGREGATE(15,6,ROW('DM_DanToc'!$B$2:$B$78)-ROW('DM_DanToc'!$B$2)+1/ISNUMBER(SEARCH(SUBSTITUTE(UPPER($K466)," ",""),'DM_DanToc'!$C$2:$C$78)),1)),"Không tìm thấy"))</f>
        <v/>
      </c>
      <c r="W466" s="5">
        <f>IF($Q466="","",IFERROR(INDEX('DM_TinhThanh'!$B$2:$B$35,AGGREGATE(15,6,ROW('DM_TinhThanh'!$B$2:$B$35)-ROW('DM_TinhThanh'!$B$2)+1/ISNUMBER(SEARCH(SUBSTITUTE(UPPER($Q466)," ",""),'DM_TinhThanh'!$C$2:$C$35)),1)),"Không tìm thấy"))</f>
        <v/>
      </c>
      <c r="Y466" s="5">
        <f>IF($R466="","",IFERROR(INDEX('DM_XaPhuong'!$B$2:$B$169,AGGREGATE(15,6,ROW('DM_XaPhuong'!$B$2:$B$169)-ROW('DM_XaPhuong'!$B$2)+1/ISNUMBER(SEARCH(SUBSTITUTE(UPPER($R466)," ",""),'DM_XaPhuong'!$C$2:$C$169)),1)),"Không tìm thấy"))</f>
        <v/>
      </c>
      <c r="AB466" s="5">
        <f>IF($T466="","",IFERROR(INDEX('DM_NgheNghiep'!$B$2:$B$11,AGGREGATE(15,6,ROW('DM_NgheNghiep'!$B$2:$B$11)-ROW('DM_NgheNghiep'!$B$2)+1/ISNUMBER(SEARCH(SUBSTITUTE(UPPER($T466)," ",""),'DM_NgheNghiep'!$C$2:$C$11)),1)),"Không tìm thấy"))</f>
        <v/>
      </c>
      <c r="AD466" s="5">
        <f>IF($U466="","",IFERROR(INDEX('DM_NoiCongTac'!$B$2:$B$11,AGGREGATE(15,6,ROW('DM_NoiCongTac'!$B$2:$B$11)-ROW('DM_NoiCongTac'!$B$2)+1/ISNUMBER(SEARCH(SUBSTITUTE(UPPER($U466)," ",""),'DM_NoiCongTac'!$C$2:$C$11)),1)),"Không tìm thấy"))</f>
        <v/>
      </c>
      <c r="AF466" s="5">
        <f>IF($V466="","",IFERROR(INDEX('DM_XaPhuong'!$B$2:$B$169,AGGREGATE(15,6,ROW('DM_XaPhuong'!$B$2:$B$169)-ROW('DM_XaPhuong'!$B$2)+1/ISNUMBER(SEARCH(SUBSTITUTE(UPPER($V466)," ",""),'DM_XaPhuong'!$C$2:$C$169)),1)),"Không tìm thấy"))</f>
        <v/>
      </c>
    </row>
    <row r="467">
      <c r="C467" s="5">
        <f>IF($B467="","",IFERROR(INDEX('DM_DoiTuong'!$B$2:$B$19,AGGREGATE(15,6,ROW('DM_DoiTuong'!$B$2:$B$19)-ROW('DM_DoiTuong'!$B$2)+1/ISNUMBER(SEARCH(SUBSTITUTE(UPPER($B467)," ",""),'DM_DoiTuong'!$C$2:$C$19)),1)),"Không tìm thấy"))</f>
        <v/>
      </c>
      <c r="E467" s="5">
        <f>IF($C467="","",IFERROR(INDEX('DM_DiaDiemKham'!$B$2:$B$6,AGGREGATE(15,6,ROW('DM_DiaDiemKham'!$B$2:$B$6)-ROW('DM_DiaDiemKham'!$B$2)+1/ISNUMBER(SEARCH(SUBSTITUTE(UPPER($C467)," ",""),'DM_DiaDiemKham'!$C$2:$C$6)),1)),"Không tìm thấy"))</f>
        <v/>
      </c>
      <c r="G467" s="5">
        <f>IF($D467="","",IFERROR(INDEX('DM_HinhThucChiTra'!$B$2:$B$5,AGGREGATE(15,6,ROW('DM_HinhThucChiTra'!$B$2:$B$5)-ROW('DM_HinhThucChiTra'!$B$2)+1/ISNUMBER(SEARCH(SUBSTITUTE(UPPER($D467)," ",""),'DM_HinhThucChiTra'!$C$2:$C$5)),1)),"Không tìm thấy"))</f>
        <v/>
      </c>
      <c r="I467" s="5">
        <f>IF($E467="","",IFERROR(INDEX('DM_HinhThucKham'!$B$2:$B$3,AGGREGATE(15,6,ROW('DM_HinhThucKham'!$B$2:$B$3)-ROW('DM_HinhThucKham'!$B$2)+1/ISNUMBER(SEARCH(SUBSTITUTE(UPPER($E467)," ",""),'DM_HinhThucKham'!$C$2:$C$3)),1)),"Không tìm thấy"))</f>
        <v/>
      </c>
      <c r="P467" s="5">
        <f>IF($K467="","",IFERROR(INDEX('DM_DanToc'!$B$2:$B$78,AGGREGATE(15,6,ROW('DM_DanToc'!$B$2:$B$78)-ROW('DM_DanToc'!$B$2)+1/ISNUMBER(SEARCH(SUBSTITUTE(UPPER($K467)," ",""),'DM_DanToc'!$C$2:$C$78)),1)),"Không tìm thấy"))</f>
        <v/>
      </c>
      <c r="W467" s="5">
        <f>IF($Q467="","",IFERROR(INDEX('DM_TinhThanh'!$B$2:$B$35,AGGREGATE(15,6,ROW('DM_TinhThanh'!$B$2:$B$35)-ROW('DM_TinhThanh'!$B$2)+1/ISNUMBER(SEARCH(SUBSTITUTE(UPPER($Q467)," ",""),'DM_TinhThanh'!$C$2:$C$35)),1)),"Không tìm thấy"))</f>
        <v/>
      </c>
      <c r="Y467" s="5">
        <f>IF($R467="","",IFERROR(INDEX('DM_XaPhuong'!$B$2:$B$169,AGGREGATE(15,6,ROW('DM_XaPhuong'!$B$2:$B$169)-ROW('DM_XaPhuong'!$B$2)+1/ISNUMBER(SEARCH(SUBSTITUTE(UPPER($R467)," ",""),'DM_XaPhuong'!$C$2:$C$169)),1)),"Không tìm thấy"))</f>
        <v/>
      </c>
      <c r="AB467" s="5">
        <f>IF($T467="","",IFERROR(INDEX('DM_NgheNghiep'!$B$2:$B$11,AGGREGATE(15,6,ROW('DM_NgheNghiep'!$B$2:$B$11)-ROW('DM_NgheNghiep'!$B$2)+1/ISNUMBER(SEARCH(SUBSTITUTE(UPPER($T467)," ",""),'DM_NgheNghiep'!$C$2:$C$11)),1)),"Không tìm thấy"))</f>
        <v/>
      </c>
      <c r="AD467" s="5">
        <f>IF($U467="","",IFERROR(INDEX('DM_NoiCongTac'!$B$2:$B$11,AGGREGATE(15,6,ROW('DM_NoiCongTac'!$B$2:$B$11)-ROW('DM_NoiCongTac'!$B$2)+1/ISNUMBER(SEARCH(SUBSTITUTE(UPPER($U467)," ",""),'DM_NoiCongTac'!$C$2:$C$11)),1)),"Không tìm thấy"))</f>
        <v/>
      </c>
      <c r="AF467" s="5">
        <f>IF($V467="","",IFERROR(INDEX('DM_XaPhuong'!$B$2:$B$169,AGGREGATE(15,6,ROW('DM_XaPhuong'!$B$2:$B$169)-ROW('DM_XaPhuong'!$B$2)+1/ISNUMBER(SEARCH(SUBSTITUTE(UPPER($V467)," ",""),'DM_XaPhuong'!$C$2:$C$169)),1)),"Không tìm thấy"))</f>
        <v/>
      </c>
    </row>
    <row r="468">
      <c r="C468" s="5">
        <f>IF($B468="","",IFERROR(INDEX('DM_DoiTuong'!$B$2:$B$19,AGGREGATE(15,6,ROW('DM_DoiTuong'!$B$2:$B$19)-ROW('DM_DoiTuong'!$B$2)+1/ISNUMBER(SEARCH(SUBSTITUTE(UPPER($B468)," ",""),'DM_DoiTuong'!$C$2:$C$19)),1)),"Không tìm thấy"))</f>
        <v/>
      </c>
      <c r="E468" s="5">
        <f>IF($C468="","",IFERROR(INDEX('DM_DiaDiemKham'!$B$2:$B$6,AGGREGATE(15,6,ROW('DM_DiaDiemKham'!$B$2:$B$6)-ROW('DM_DiaDiemKham'!$B$2)+1/ISNUMBER(SEARCH(SUBSTITUTE(UPPER($C468)," ",""),'DM_DiaDiemKham'!$C$2:$C$6)),1)),"Không tìm thấy"))</f>
        <v/>
      </c>
      <c r="G468" s="5">
        <f>IF($D468="","",IFERROR(INDEX('DM_HinhThucChiTra'!$B$2:$B$5,AGGREGATE(15,6,ROW('DM_HinhThucChiTra'!$B$2:$B$5)-ROW('DM_HinhThucChiTra'!$B$2)+1/ISNUMBER(SEARCH(SUBSTITUTE(UPPER($D468)," ",""),'DM_HinhThucChiTra'!$C$2:$C$5)),1)),"Không tìm thấy"))</f>
        <v/>
      </c>
      <c r="I468" s="5">
        <f>IF($E468="","",IFERROR(INDEX('DM_HinhThucKham'!$B$2:$B$3,AGGREGATE(15,6,ROW('DM_HinhThucKham'!$B$2:$B$3)-ROW('DM_HinhThucKham'!$B$2)+1/ISNUMBER(SEARCH(SUBSTITUTE(UPPER($E468)," ",""),'DM_HinhThucKham'!$C$2:$C$3)),1)),"Không tìm thấy"))</f>
        <v/>
      </c>
      <c r="P468" s="5">
        <f>IF($K468="","",IFERROR(INDEX('DM_DanToc'!$B$2:$B$78,AGGREGATE(15,6,ROW('DM_DanToc'!$B$2:$B$78)-ROW('DM_DanToc'!$B$2)+1/ISNUMBER(SEARCH(SUBSTITUTE(UPPER($K468)," ",""),'DM_DanToc'!$C$2:$C$78)),1)),"Không tìm thấy"))</f>
        <v/>
      </c>
      <c r="W468" s="5">
        <f>IF($Q468="","",IFERROR(INDEX('DM_TinhThanh'!$B$2:$B$35,AGGREGATE(15,6,ROW('DM_TinhThanh'!$B$2:$B$35)-ROW('DM_TinhThanh'!$B$2)+1/ISNUMBER(SEARCH(SUBSTITUTE(UPPER($Q468)," ",""),'DM_TinhThanh'!$C$2:$C$35)),1)),"Không tìm thấy"))</f>
        <v/>
      </c>
      <c r="Y468" s="5">
        <f>IF($R468="","",IFERROR(INDEX('DM_XaPhuong'!$B$2:$B$169,AGGREGATE(15,6,ROW('DM_XaPhuong'!$B$2:$B$169)-ROW('DM_XaPhuong'!$B$2)+1/ISNUMBER(SEARCH(SUBSTITUTE(UPPER($R468)," ",""),'DM_XaPhuong'!$C$2:$C$169)),1)),"Không tìm thấy"))</f>
        <v/>
      </c>
      <c r="AB468" s="5">
        <f>IF($T468="","",IFERROR(INDEX('DM_NgheNghiep'!$B$2:$B$11,AGGREGATE(15,6,ROW('DM_NgheNghiep'!$B$2:$B$11)-ROW('DM_NgheNghiep'!$B$2)+1/ISNUMBER(SEARCH(SUBSTITUTE(UPPER($T468)," ",""),'DM_NgheNghiep'!$C$2:$C$11)),1)),"Không tìm thấy"))</f>
        <v/>
      </c>
      <c r="AD468" s="5">
        <f>IF($U468="","",IFERROR(INDEX('DM_NoiCongTac'!$B$2:$B$11,AGGREGATE(15,6,ROW('DM_NoiCongTac'!$B$2:$B$11)-ROW('DM_NoiCongTac'!$B$2)+1/ISNUMBER(SEARCH(SUBSTITUTE(UPPER($U468)," ",""),'DM_NoiCongTac'!$C$2:$C$11)),1)),"Không tìm thấy"))</f>
        <v/>
      </c>
      <c r="AF468" s="5">
        <f>IF($V468="","",IFERROR(INDEX('DM_XaPhuong'!$B$2:$B$169,AGGREGATE(15,6,ROW('DM_XaPhuong'!$B$2:$B$169)-ROW('DM_XaPhuong'!$B$2)+1/ISNUMBER(SEARCH(SUBSTITUTE(UPPER($V468)," ",""),'DM_XaPhuong'!$C$2:$C$169)),1)),"Không tìm thấy"))</f>
        <v/>
      </c>
    </row>
    <row r="469">
      <c r="C469" s="5">
        <f>IF($B469="","",IFERROR(INDEX('DM_DoiTuong'!$B$2:$B$19,AGGREGATE(15,6,ROW('DM_DoiTuong'!$B$2:$B$19)-ROW('DM_DoiTuong'!$B$2)+1/ISNUMBER(SEARCH(SUBSTITUTE(UPPER($B469)," ",""),'DM_DoiTuong'!$C$2:$C$19)),1)),"Không tìm thấy"))</f>
        <v/>
      </c>
      <c r="E469" s="5">
        <f>IF($C469="","",IFERROR(INDEX('DM_DiaDiemKham'!$B$2:$B$6,AGGREGATE(15,6,ROW('DM_DiaDiemKham'!$B$2:$B$6)-ROW('DM_DiaDiemKham'!$B$2)+1/ISNUMBER(SEARCH(SUBSTITUTE(UPPER($C469)," ",""),'DM_DiaDiemKham'!$C$2:$C$6)),1)),"Không tìm thấy"))</f>
        <v/>
      </c>
      <c r="G469" s="5">
        <f>IF($D469="","",IFERROR(INDEX('DM_HinhThucChiTra'!$B$2:$B$5,AGGREGATE(15,6,ROW('DM_HinhThucChiTra'!$B$2:$B$5)-ROW('DM_HinhThucChiTra'!$B$2)+1/ISNUMBER(SEARCH(SUBSTITUTE(UPPER($D469)," ",""),'DM_HinhThucChiTra'!$C$2:$C$5)),1)),"Không tìm thấy"))</f>
        <v/>
      </c>
      <c r="I469" s="5">
        <f>IF($E469="","",IFERROR(INDEX('DM_HinhThucKham'!$B$2:$B$3,AGGREGATE(15,6,ROW('DM_HinhThucKham'!$B$2:$B$3)-ROW('DM_HinhThucKham'!$B$2)+1/ISNUMBER(SEARCH(SUBSTITUTE(UPPER($E469)," ",""),'DM_HinhThucKham'!$C$2:$C$3)),1)),"Không tìm thấy"))</f>
        <v/>
      </c>
      <c r="P469" s="5">
        <f>IF($K469="","",IFERROR(INDEX('DM_DanToc'!$B$2:$B$78,AGGREGATE(15,6,ROW('DM_DanToc'!$B$2:$B$78)-ROW('DM_DanToc'!$B$2)+1/ISNUMBER(SEARCH(SUBSTITUTE(UPPER($K469)," ",""),'DM_DanToc'!$C$2:$C$78)),1)),"Không tìm thấy"))</f>
        <v/>
      </c>
      <c r="W469" s="5">
        <f>IF($Q469="","",IFERROR(INDEX('DM_TinhThanh'!$B$2:$B$35,AGGREGATE(15,6,ROW('DM_TinhThanh'!$B$2:$B$35)-ROW('DM_TinhThanh'!$B$2)+1/ISNUMBER(SEARCH(SUBSTITUTE(UPPER($Q469)," ",""),'DM_TinhThanh'!$C$2:$C$35)),1)),"Không tìm thấy"))</f>
        <v/>
      </c>
      <c r="Y469" s="5">
        <f>IF($R469="","",IFERROR(INDEX('DM_XaPhuong'!$B$2:$B$169,AGGREGATE(15,6,ROW('DM_XaPhuong'!$B$2:$B$169)-ROW('DM_XaPhuong'!$B$2)+1/ISNUMBER(SEARCH(SUBSTITUTE(UPPER($R469)," ",""),'DM_XaPhuong'!$C$2:$C$169)),1)),"Không tìm thấy"))</f>
        <v/>
      </c>
      <c r="AB469" s="5">
        <f>IF($T469="","",IFERROR(INDEX('DM_NgheNghiep'!$B$2:$B$11,AGGREGATE(15,6,ROW('DM_NgheNghiep'!$B$2:$B$11)-ROW('DM_NgheNghiep'!$B$2)+1/ISNUMBER(SEARCH(SUBSTITUTE(UPPER($T469)," ",""),'DM_NgheNghiep'!$C$2:$C$11)),1)),"Không tìm thấy"))</f>
        <v/>
      </c>
      <c r="AD469" s="5">
        <f>IF($U469="","",IFERROR(INDEX('DM_NoiCongTac'!$B$2:$B$11,AGGREGATE(15,6,ROW('DM_NoiCongTac'!$B$2:$B$11)-ROW('DM_NoiCongTac'!$B$2)+1/ISNUMBER(SEARCH(SUBSTITUTE(UPPER($U469)," ",""),'DM_NoiCongTac'!$C$2:$C$11)),1)),"Không tìm thấy"))</f>
        <v/>
      </c>
      <c r="AF469" s="5">
        <f>IF($V469="","",IFERROR(INDEX('DM_XaPhuong'!$B$2:$B$169,AGGREGATE(15,6,ROW('DM_XaPhuong'!$B$2:$B$169)-ROW('DM_XaPhuong'!$B$2)+1/ISNUMBER(SEARCH(SUBSTITUTE(UPPER($V469)," ",""),'DM_XaPhuong'!$C$2:$C$169)),1)),"Không tìm thấy"))</f>
        <v/>
      </c>
    </row>
    <row r="470">
      <c r="C470" s="5">
        <f>IF($B470="","",IFERROR(INDEX('DM_DoiTuong'!$B$2:$B$19,AGGREGATE(15,6,ROW('DM_DoiTuong'!$B$2:$B$19)-ROW('DM_DoiTuong'!$B$2)+1/ISNUMBER(SEARCH(SUBSTITUTE(UPPER($B470)," ",""),'DM_DoiTuong'!$C$2:$C$19)),1)),"Không tìm thấy"))</f>
        <v/>
      </c>
      <c r="E470" s="5">
        <f>IF($C470="","",IFERROR(INDEX('DM_DiaDiemKham'!$B$2:$B$6,AGGREGATE(15,6,ROW('DM_DiaDiemKham'!$B$2:$B$6)-ROW('DM_DiaDiemKham'!$B$2)+1/ISNUMBER(SEARCH(SUBSTITUTE(UPPER($C470)," ",""),'DM_DiaDiemKham'!$C$2:$C$6)),1)),"Không tìm thấy"))</f>
        <v/>
      </c>
      <c r="G470" s="5">
        <f>IF($D470="","",IFERROR(INDEX('DM_HinhThucChiTra'!$B$2:$B$5,AGGREGATE(15,6,ROW('DM_HinhThucChiTra'!$B$2:$B$5)-ROW('DM_HinhThucChiTra'!$B$2)+1/ISNUMBER(SEARCH(SUBSTITUTE(UPPER($D470)," ",""),'DM_HinhThucChiTra'!$C$2:$C$5)),1)),"Không tìm thấy"))</f>
        <v/>
      </c>
      <c r="I470" s="5">
        <f>IF($E470="","",IFERROR(INDEX('DM_HinhThucKham'!$B$2:$B$3,AGGREGATE(15,6,ROW('DM_HinhThucKham'!$B$2:$B$3)-ROW('DM_HinhThucKham'!$B$2)+1/ISNUMBER(SEARCH(SUBSTITUTE(UPPER($E470)," ",""),'DM_HinhThucKham'!$C$2:$C$3)),1)),"Không tìm thấy"))</f>
        <v/>
      </c>
      <c r="P470" s="5">
        <f>IF($K470="","",IFERROR(INDEX('DM_DanToc'!$B$2:$B$78,AGGREGATE(15,6,ROW('DM_DanToc'!$B$2:$B$78)-ROW('DM_DanToc'!$B$2)+1/ISNUMBER(SEARCH(SUBSTITUTE(UPPER($K470)," ",""),'DM_DanToc'!$C$2:$C$78)),1)),"Không tìm thấy"))</f>
        <v/>
      </c>
      <c r="W470" s="5">
        <f>IF($Q470="","",IFERROR(INDEX('DM_TinhThanh'!$B$2:$B$35,AGGREGATE(15,6,ROW('DM_TinhThanh'!$B$2:$B$35)-ROW('DM_TinhThanh'!$B$2)+1/ISNUMBER(SEARCH(SUBSTITUTE(UPPER($Q470)," ",""),'DM_TinhThanh'!$C$2:$C$35)),1)),"Không tìm thấy"))</f>
        <v/>
      </c>
      <c r="Y470" s="5">
        <f>IF($R470="","",IFERROR(INDEX('DM_XaPhuong'!$B$2:$B$169,AGGREGATE(15,6,ROW('DM_XaPhuong'!$B$2:$B$169)-ROW('DM_XaPhuong'!$B$2)+1/ISNUMBER(SEARCH(SUBSTITUTE(UPPER($R470)," ",""),'DM_XaPhuong'!$C$2:$C$169)),1)),"Không tìm thấy"))</f>
        <v/>
      </c>
      <c r="AB470" s="5">
        <f>IF($T470="","",IFERROR(INDEX('DM_NgheNghiep'!$B$2:$B$11,AGGREGATE(15,6,ROW('DM_NgheNghiep'!$B$2:$B$11)-ROW('DM_NgheNghiep'!$B$2)+1/ISNUMBER(SEARCH(SUBSTITUTE(UPPER($T470)," ",""),'DM_NgheNghiep'!$C$2:$C$11)),1)),"Không tìm thấy"))</f>
        <v/>
      </c>
      <c r="AD470" s="5">
        <f>IF($U470="","",IFERROR(INDEX('DM_NoiCongTac'!$B$2:$B$11,AGGREGATE(15,6,ROW('DM_NoiCongTac'!$B$2:$B$11)-ROW('DM_NoiCongTac'!$B$2)+1/ISNUMBER(SEARCH(SUBSTITUTE(UPPER($U470)," ",""),'DM_NoiCongTac'!$C$2:$C$11)),1)),"Không tìm thấy"))</f>
        <v/>
      </c>
      <c r="AF470" s="5">
        <f>IF($V470="","",IFERROR(INDEX('DM_XaPhuong'!$B$2:$B$169,AGGREGATE(15,6,ROW('DM_XaPhuong'!$B$2:$B$169)-ROW('DM_XaPhuong'!$B$2)+1/ISNUMBER(SEARCH(SUBSTITUTE(UPPER($V470)," ",""),'DM_XaPhuong'!$C$2:$C$169)),1)),"Không tìm thấy"))</f>
        <v/>
      </c>
    </row>
    <row r="471">
      <c r="C471" s="5">
        <f>IF($B471="","",IFERROR(INDEX('DM_DoiTuong'!$B$2:$B$19,AGGREGATE(15,6,ROW('DM_DoiTuong'!$B$2:$B$19)-ROW('DM_DoiTuong'!$B$2)+1/ISNUMBER(SEARCH(SUBSTITUTE(UPPER($B471)," ",""),'DM_DoiTuong'!$C$2:$C$19)),1)),"Không tìm thấy"))</f>
        <v/>
      </c>
      <c r="E471" s="5">
        <f>IF($C471="","",IFERROR(INDEX('DM_DiaDiemKham'!$B$2:$B$6,AGGREGATE(15,6,ROW('DM_DiaDiemKham'!$B$2:$B$6)-ROW('DM_DiaDiemKham'!$B$2)+1/ISNUMBER(SEARCH(SUBSTITUTE(UPPER($C471)," ",""),'DM_DiaDiemKham'!$C$2:$C$6)),1)),"Không tìm thấy"))</f>
        <v/>
      </c>
      <c r="G471" s="5">
        <f>IF($D471="","",IFERROR(INDEX('DM_HinhThucChiTra'!$B$2:$B$5,AGGREGATE(15,6,ROW('DM_HinhThucChiTra'!$B$2:$B$5)-ROW('DM_HinhThucChiTra'!$B$2)+1/ISNUMBER(SEARCH(SUBSTITUTE(UPPER($D471)," ",""),'DM_HinhThucChiTra'!$C$2:$C$5)),1)),"Không tìm thấy"))</f>
        <v/>
      </c>
      <c r="I471" s="5">
        <f>IF($E471="","",IFERROR(INDEX('DM_HinhThucKham'!$B$2:$B$3,AGGREGATE(15,6,ROW('DM_HinhThucKham'!$B$2:$B$3)-ROW('DM_HinhThucKham'!$B$2)+1/ISNUMBER(SEARCH(SUBSTITUTE(UPPER($E471)," ",""),'DM_HinhThucKham'!$C$2:$C$3)),1)),"Không tìm thấy"))</f>
        <v/>
      </c>
      <c r="P471" s="5">
        <f>IF($K471="","",IFERROR(INDEX('DM_DanToc'!$B$2:$B$78,AGGREGATE(15,6,ROW('DM_DanToc'!$B$2:$B$78)-ROW('DM_DanToc'!$B$2)+1/ISNUMBER(SEARCH(SUBSTITUTE(UPPER($K471)," ",""),'DM_DanToc'!$C$2:$C$78)),1)),"Không tìm thấy"))</f>
        <v/>
      </c>
      <c r="W471" s="5">
        <f>IF($Q471="","",IFERROR(INDEX('DM_TinhThanh'!$B$2:$B$35,AGGREGATE(15,6,ROW('DM_TinhThanh'!$B$2:$B$35)-ROW('DM_TinhThanh'!$B$2)+1/ISNUMBER(SEARCH(SUBSTITUTE(UPPER($Q471)," ",""),'DM_TinhThanh'!$C$2:$C$35)),1)),"Không tìm thấy"))</f>
        <v/>
      </c>
      <c r="Y471" s="5">
        <f>IF($R471="","",IFERROR(INDEX('DM_XaPhuong'!$B$2:$B$169,AGGREGATE(15,6,ROW('DM_XaPhuong'!$B$2:$B$169)-ROW('DM_XaPhuong'!$B$2)+1/ISNUMBER(SEARCH(SUBSTITUTE(UPPER($R471)," ",""),'DM_XaPhuong'!$C$2:$C$169)),1)),"Không tìm thấy"))</f>
        <v/>
      </c>
      <c r="AB471" s="5">
        <f>IF($T471="","",IFERROR(INDEX('DM_NgheNghiep'!$B$2:$B$11,AGGREGATE(15,6,ROW('DM_NgheNghiep'!$B$2:$B$11)-ROW('DM_NgheNghiep'!$B$2)+1/ISNUMBER(SEARCH(SUBSTITUTE(UPPER($T471)," ",""),'DM_NgheNghiep'!$C$2:$C$11)),1)),"Không tìm thấy"))</f>
        <v/>
      </c>
      <c r="AD471" s="5">
        <f>IF($U471="","",IFERROR(INDEX('DM_NoiCongTac'!$B$2:$B$11,AGGREGATE(15,6,ROW('DM_NoiCongTac'!$B$2:$B$11)-ROW('DM_NoiCongTac'!$B$2)+1/ISNUMBER(SEARCH(SUBSTITUTE(UPPER($U471)," ",""),'DM_NoiCongTac'!$C$2:$C$11)),1)),"Không tìm thấy"))</f>
        <v/>
      </c>
      <c r="AF471" s="5">
        <f>IF($V471="","",IFERROR(INDEX('DM_XaPhuong'!$B$2:$B$169,AGGREGATE(15,6,ROW('DM_XaPhuong'!$B$2:$B$169)-ROW('DM_XaPhuong'!$B$2)+1/ISNUMBER(SEARCH(SUBSTITUTE(UPPER($V471)," ",""),'DM_XaPhuong'!$C$2:$C$169)),1)),"Không tìm thấy"))</f>
        <v/>
      </c>
    </row>
    <row r="472">
      <c r="C472" s="5">
        <f>IF($B472="","",IFERROR(INDEX('DM_DoiTuong'!$B$2:$B$19,AGGREGATE(15,6,ROW('DM_DoiTuong'!$B$2:$B$19)-ROW('DM_DoiTuong'!$B$2)+1/ISNUMBER(SEARCH(SUBSTITUTE(UPPER($B472)," ",""),'DM_DoiTuong'!$C$2:$C$19)),1)),"Không tìm thấy"))</f>
        <v/>
      </c>
      <c r="E472" s="5">
        <f>IF($C472="","",IFERROR(INDEX('DM_DiaDiemKham'!$B$2:$B$6,AGGREGATE(15,6,ROW('DM_DiaDiemKham'!$B$2:$B$6)-ROW('DM_DiaDiemKham'!$B$2)+1/ISNUMBER(SEARCH(SUBSTITUTE(UPPER($C472)," ",""),'DM_DiaDiemKham'!$C$2:$C$6)),1)),"Không tìm thấy"))</f>
        <v/>
      </c>
      <c r="G472" s="5">
        <f>IF($D472="","",IFERROR(INDEX('DM_HinhThucChiTra'!$B$2:$B$5,AGGREGATE(15,6,ROW('DM_HinhThucChiTra'!$B$2:$B$5)-ROW('DM_HinhThucChiTra'!$B$2)+1/ISNUMBER(SEARCH(SUBSTITUTE(UPPER($D472)," ",""),'DM_HinhThucChiTra'!$C$2:$C$5)),1)),"Không tìm thấy"))</f>
        <v/>
      </c>
      <c r="I472" s="5">
        <f>IF($E472="","",IFERROR(INDEX('DM_HinhThucKham'!$B$2:$B$3,AGGREGATE(15,6,ROW('DM_HinhThucKham'!$B$2:$B$3)-ROW('DM_HinhThucKham'!$B$2)+1/ISNUMBER(SEARCH(SUBSTITUTE(UPPER($E472)," ",""),'DM_HinhThucKham'!$C$2:$C$3)),1)),"Không tìm thấy"))</f>
        <v/>
      </c>
      <c r="P472" s="5">
        <f>IF($K472="","",IFERROR(INDEX('DM_DanToc'!$B$2:$B$78,AGGREGATE(15,6,ROW('DM_DanToc'!$B$2:$B$78)-ROW('DM_DanToc'!$B$2)+1/ISNUMBER(SEARCH(SUBSTITUTE(UPPER($K472)," ",""),'DM_DanToc'!$C$2:$C$78)),1)),"Không tìm thấy"))</f>
        <v/>
      </c>
      <c r="W472" s="5">
        <f>IF($Q472="","",IFERROR(INDEX('DM_TinhThanh'!$B$2:$B$35,AGGREGATE(15,6,ROW('DM_TinhThanh'!$B$2:$B$35)-ROW('DM_TinhThanh'!$B$2)+1/ISNUMBER(SEARCH(SUBSTITUTE(UPPER($Q472)," ",""),'DM_TinhThanh'!$C$2:$C$35)),1)),"Không tìm thấy"))</f>
        <v/>
      </c>
      <c r="Y472" s="5">
        <f>IF($R472="","",IFERROR(INDEX('DM_XaPhuong'!$B$2:$B$169,AGGREGATE(15,6,ROW('DM_XaPhuong'!$B$2:$B$169)-ROW('DM_XaPhuong'!$B$2)+1/ISNUMBER(SEARCH(SUBSTITUTE(UPPER($R472)," ",""),'DM_XaPhuong'!$C$2:$C$169)),1)),"Không tìm thấy"))</f>
        <v/>
      </c>
      <c r="AB472" s="5">
        <f>IF($T472="","",IFERROR(INDEX('DM_NgheNghiep'!$B$2:$B$11,AGGREGATE(15,6,ROW('DM_NgheNghiep'!$B$2:$B$11)-ROW('DM_NgheNghiep'!$B$2)+1/ISNUMBER(SEARCH(SUBSTITUTE(UPPER($T472)," ",""),'DM_NgheNghiep'!$C$2:$C$11)),1)),"Không tìm thấy"))</f>
        <v/>
      </c>
      <c r="AD472" s="5">
        <f>IF($U472="","",IFERROR(INDEX('DM_NoiCongTac'!$B$2:$B$11,AGGREGATE(15,6,ROW('DM_NoiCongTac'!$B$2:$B$11)-ROW('DM_NoiCongTac'!$B$2)+1/ISNUMBER(SEARCH(SUBSTITUTE(UPPER($U472)," ",""),'DM_NoiCongTac'!$C$2:$C$11)),1)),"Không tìm thấy"))</f>
        <v/>
      </c>
      <c r="AF472" s="5">
        <f>IF($V472="","",IFERROR(INDEX('DM_XaPhuong'!$B$2:$B$169,AGGREGATE(15,6,ROW('DM_XaPhuong'!$B$2:$B$169)-ROW('DM_XaPhuong'!$B$2)+1/ISNUMBER(SEARCH(SUBSTITUTE(UPPER($V472)," ",""),'DM_XaPhuong'!$C$2:$C$169)),1)),"Không tìm thấy"))</f>
        <v/>
      </c>
    </row>
    <row r="473">
      <c r="C473" s="5">
        <f>IF($B473="","",IFERROR(INDEX('DM_DoiTuong'!$B$2:$B$19,AGGREGATE(15,6,ROW('DM_DoiTuong'!$B$2:$B$19)-ROW('DM_DoiTuong'!$B$2)+1/ISNUMBER(SEARCH(SUBSTITUTE(UPPER($B473)," ",""),'DM_DoiTuong'!$C$2:$C$19)),1)),"Không tìm thấy"))</f>
        <v/>
      </c>
      <c r="E473" s="5">
        <f>IF($C473="","",IFERROR(INDEX('DM_DiaDiemKham'!$B$2:$B$6,AGGREGATE(15,6,ROW('DM_DiaDiemKham'!$B$2:$B$6)-ROW('DM_DiaDiemKham'!$B$2)+1/ISNUMBER(SEARCH(SUBSTITUTE(UPPER($C473)," ",""),'DM_DiaDiemKham'!$C$2:$C$6)),1)),"Không tìm thấy"))</f>
        <v/>
      </c>
      <c r="G473" s="5">
        <f>IF($D473="","",IFERROR(INDEX('DM_HinhThucChiTra'!$B$2:$B$5,AGGREGATE(15,6,ROW('DM_HinhThucChiTra'!$B$2:$B$5)-ROW('DM_HinhThucChiTra'!$B$2)+1/ISNUMBER(SEARCH(SUBSTITUTE(UPPER($D473)," ",""),'DM_HinhThucChiTra'!$C$2:$C$5)),1)),"Không tìm thấy"))</f>
        <v/>
      </c>
      <c r="I473" s="5">
        <f>IF($E473="","",IFERROR(INDEX('DM_HinhThucKham'!$B$2:$B$3,AGGREGATE(15,6,ROW('DM_HinhThucKham'!$B$2:$B$3)-ROW('DM_HinhThucKham'!$B$2)+1/ISNUMBER(SEARCH(SUBSTITUTE(UPPER($E473)," ",""),'DM_HinhThucKham'!$C$2:$C$3)),1)),"Không tìm thấy"))</f>
        <v/>
      </c>
      <c r="P473" s="5">
        <f>IF($K473="","",IFERROR(INDEX('DM_DanToc'!$B$2:$B$78,AGGREGATE(15,6,ROW('DM_DanToc'!$B$2:$B$78)-ROW('DM_DanToc'!$B$2)+1/ISNUMBER(SEARCH(SUBSTITUTE(UPPER($K473)," ",""),'DM_DanToc'!$C$2:$C$78)),1)),"Không tìm thấy"))</f>
        <v/>
      </c>
      <c r="W473" s="5">
        <f>IF($Q473="","",IFERROR(INDEX('DM_TinhThanh'!$B$2:$B$35,AGGREGATE(15,6,ROW('DM_TinhThanh'!$B$2:$B$35)-ROW('DM_TinhThanh'!$B$2)+1/ISNUMBER(SEARCH(SUBSTITUTE(UPPER($Q473)," ",""),'DM_TinhThanh'!$C$2:$C$35)),1)),"Không tìm thấy"))</f>
        <v/>
      </c>
      <c r="Y473" s="5">
        <f>IF($R473="","",IFERROR(INDEX('DM_XaPhuong'!$B$2:$B$169,AGGREGATE(15,6,ROW('DM_XaPhuong'!$B$2:$B$169)-ROW('DM_XaPhuong'!$B$2)+1/ISNUMBER(SEARCH(SUBSTITUTE(UPPER($R473)," ",""),'DM_XaPhuong'!$C$2:$C$169)),1)),"Không tìm thấy"))</f>
        <v/>
      </c>
      <c r="AB473" s="5">
        <f>IF($T473="","",IFERROR(INDEX('DM_NgheNghiep'!$B$2:$B$11,AGGREGATE(15,6,ROW('DM_NgheNghiep'!$B$2:$B$11)-ROW('DM_NgheNghiep'!$B$2)+1/ISNUMBER(SEARCH(SUBSTITUTE(UPPER($T473)," ",""),'DM_NgheNghiep'!$C$2:$C$11)),1)),"Không tìm thấy"))</f>
        <v/>
      </c>
      <c r="AD473" s="5">
        <f>IF($U473="","",IFERROR(INDEX('DM_NoiCongTac'!$B$2:$B$11,AGGREGATE(15,6,ROW('DM_NoiCongTac'!$B$2:$B$11)-ROW('DM_NoiCongTac'!$B$2)+1/ISNUMBER(SEARCH(SUBSTITUTE(UPPER($U473)," ",""),'DM_NoiCongTac'!$C$2:$C$11)),1)),"Không tìm thấy"))</f>
        <v/>
      </c>
      <c r="AF473" s="5">
        <f>IF($V473="","",IFERROR(INDEX('DM_XaPhuong'!$B$2:$B$169,AGGREGATE(15,6,ROW('DM_XaPhuong'!$B$2:$B$169)-ROW('DM_XaPhuong'!$B$2)+1/ISNUMBER(SEARCH(SUBSTITUTE(UPPER($V473)," ",""),'DM_XaPhuong'!$C$2:$C$169)),1)),"Không tìm thấy"))</f>
        <v/>
      </c>
    </row>
    <row r="474">
      <c r="C474" s="5">
        <f>IF($B474="","",IFERROR(INDEX('DM_DoiTuong'!$B$2:$B$19,AGGREGATE(15,6,ROW('DM_DoiTuong'!$B$2:$B$19)-ROW('DM_DoiTuong'!$B$2)+1/ISNUMBER(SEARCH(SUBSTITUTE(UPPER($B474)," ",""),'DM_DoiTuong'!$C$2:$C$19)),1)),"Không tìm thấy"))</f>
        <v/>
      </c>
      <c r="E474" s="5">
        <f>IF($C474="","",IFERROR(INDEX('DM_DiaDiemKham'!$B$2:$B$6,AGGREGATE(15,6,ROW('DM_DiaDiemKham'!$B$2:$B$6)-ROW('DM_DiaDiemKham'!$B$2)+1/ISNUMBER(SEARCH(SUBSTITUTE(UPPER($C474)," ",""),'DM_DiaDiemKham'!$C$2:$C$6)),1)),"Không tìm thấy"))</f>
        <v/>
      </c>
      <c r="G474" s="5">
        <f>IF($D474="","",IFERROR(INDEX('DM_HinhThucChiTra'!$B$2:$B$5,AGGREGATE(15,6,ROW('DM_HinhThucChiTra'!$B$2:$B$5)-ROW('DM_HinhThucChiTra'!$B$2)+1/ISNUMBER(SEARCH(SUBSTITUTE(UPPER($D474)," ",""),'DM_HinhThucChiTra'!$C$2:$C$5)),1)),"Không tìm thấy"))</f>
        <v/>
      </c>
      <c r="I474" s="5">
        <f>IF($E474="","",IFERROR(INDEX('DM_HinhThucKham'!$B$2:$B$3,AGGREGATE(15,6,ROW('DM_HinhThucKham'!$B$2:$B$3)-ROW('DM_HinhThucKham'!$B$2)+1/ISNUMBER(SEARCH(SUBSTITUTE(UPPER($E474)," ",""),'DM_HinhThucKham'!$C$2:$C$3)),1)),"Không tìm thấy"))</f>
        <v/>
      </c>
      <c r="P474" s="5">
        <f>IF($K474="","",IFERROR(INDEX('DM_DanToc'!$B$2:$B$78,AGGREGATE(15,6,ROW('DM_DanToc'!$B$2:$B$78)-ROW('DM_DanToc'!$B$2)+1/ISNUMBER(SEARCH(SUBSTITUTE(UPPER($K474)," ",""),'DM_DanToc'!$C$2:$C$78)),1)),"Không tìm thấy"))</f>
        <v/>
      </c>
      <c r="W474" s="5">
        <f>IF($Q474="","",IFERROR(INDEX('DM_TinhThanh'!$B$2:$B$35,AGGREGATE(15,6,ROW('DM_TinhThanh'!$B$2:$B$35)-ROW('DM_TinhThanh'!$B$2)+1/ISNUMBER(SEARCH(SUBSTITUTE(UPPER($Q474)," ",""),'DM_TinhThanh'!$C$2:$C$35)),1)),"Không tìm thấy"))</f>
        <v/>
      </c>
      <c r="Y474" s="5">
        <f>IF($R474="","",IFERROR(INDEX('DM_XaPhuong'!$B$2:$B$169,AGGREGATE(15,6,ROW('DM_XaPhuong'!$B$2:$B$169)-ROW('DM_XaPhuong'!$B$2)+1/ISNUMBER(SEARCH(SUBSTITUTE(UPPER($R474)," ",""),'DM_XaPhuong'!$C$2:$C$169)),1)),"Không tìm thấy"))</f>
        <v/>
      </c>
      <c r="AB474" s="5">
        <f>IF($T474="","",IFERROR(INDEX('DM_NgheNghiep'!$B$2:$B$11,AGGREGATE(15,6,ROW('DM_NgheNghiep'!$B$2:$B$11)-ROW('DM_NgheNghiep'!$B$2)+1/ISNUMBER(SEARCH(SUBSTITUTE(UPPER($T474)," ",""),'DM_NgheNghiep'!$C$2:$C$11)),1)),"Không tìm thấy"))</f>
        <v/>
      </c>
      <c r="AD474" s="5">
        <f>IF($U474="","",IFERROR(INDEX('DM_NoiCongTac'!$B$2:$B$11,AGGREGATE(15,6,ROW('DM_NoiCongTac'!$B$2:$B$11)-ROW('DM_NoiCongTac'!$B$2)+1/ISNUMBER(SEARCH(SUBSTITUTE(UPPER($U474)," ",""),'DM_NoiCongTac'!$C$2:$C$11)),1)),"Không tìm thấy"))</f>
        <v/>
      </c>
      <c r="AF474" s="5">
        <f>IF($V474="","",IFERROR(INDEX('DM_XaPhuong'!$B$2:$B$169,AGGREGATE(15,6,ROW('DM_XaPhuong'!$B$2:$B$169)-ROW('DM_XaPhuong'!$B$2)+1/ISNUMBER(SEARCH(SUBSTITUTE(UPPER($V474)," ",""),'DM_XaPhuong'!$C$2:$C$169)),1)),"Không tìm thấy"))</f>
        <v/>
      </c>
    </row>
    <row r="475">
      <c r="C475" s="5">
        <f>IF($B475="","",IFERROR(INDEX('DM_DoiTuong'!$B$2:$B$19,AGGREGATE(15,6,ROW('DM_DoiTuong'!$B$2:$B$19)-ROW('DM_DoiTuong'!$B$2)+1/ISNUMBER(SEARCH(SUBSTITUTE(UPPER($B475)," ",""),'DM_DoiTuong'!$C$2:$C$19)),1)),"Không tìm thấy"))</f>
        <v/>
      </c>
      <c r="E475" s="5">
        <f>IF($C475="","",IFERROR(INDEX('DM_DiaDiemKham'!$B$2:$B$6,AGGREGATE(15,6,ROW('DM_DiaDiemKham'!$B$2:$B$6)-ROW('DM_DiaDiemKham'!$B$2)+1/ISNUMBER(SEARCH(SUBSTITUTE(UPPER($C475)," ",""),'DM_DiaDiemKham'!$C$2:$C$6)),1)),"Không tìm thấy"))</f>
        <v/>
      </c>
      <c r="G475" s="5">
        <f>IF($D475="","",IFERROR(INDEX('DM_HinhThucChiTra'!$B$2:$B$5,AGGREGATE(15,6,ROW('DM_HinhThucChiTra'!$B$2:$B$5)-ROW('DM_HinhThucChiTra'!$B$2)+1/ISNUMBER(SEARCH(SUBSTITUTE(UPPER($D475)," ",""),'DM_HinhThucChiTra'!$C$2:$C$5)),1)),"Không tìm thấy"))</f>
        <v/>
      </c>
      <c r="I475" s="5">
        <f>IF($E475="","",IFERROR(INDEX('DM_HinhThucKham'!$B$2:$B$3,AGGREGATE(15,6,ROW('DM_HinhThucKham'!$B$2:$B$3)-ROW('DM_HinhThucKham'!$B$2)+1/ISNUMBER(SEARCH(SUBSTITUTE(UPPER($E475)," ",""),'DM_HinhThucKham'!$C$2:$C$3)),1)),"Không tìm thấy"))</f>
        <v/>
      </c>
      <c r="P475" s="5">
        <f>IF($K475="","",IFERROR(INDEX('DM_DanToc'!$B$2:$B$78,AGGREGATE(15,6,ROW('DM_DanToc'!$B$2:$B$78)-ROW('DM_DanToc'!$B$2)+1/ISNUMBER(SEARCH(SUBSTITUTE(UPPER($K475)," ",""),'DM_DanToc'!$C$2:$C$78)),1)),"Không tìm thấy"))</f>
        <v/>
      </c>
      <c r="W475" s="5">
        <f>IF($Q475="","",IFERROR(INDEX('DM_TinhThanh'!$B$2:$B$35,AGGREGATE(15,6,ROW('DM_TinhThanh'!$B$2:$B$35)-ROW('DM_TinhThanh'!$B$2)+1/ISNUMBER(SEARCH(SUBSTITUTE(UPPER($Q475)," ",""),'DM_TinhThanh'!$C$2:$C$35)),1)),"Không tìm thấy"))</f>
        <v/>
      </c>
      <c r="Y475" s="5">
        <f>IF($R475="","",IFERROR(INDEX('DM_XaPhuong'!$B$2:$B$169,AGGREGATE(15,6,ROW('DM_XaPhuong'!$B$2:$B$169)-ROW('DM_XaPhuong'!$B$2)+1/ISNUMBER(SEARCH(SUBSTITUTE(UPPER($R475)," ",""),'DM_XaPhuong'!$C$2:$C$169)),1)),"Không tìm thấy"))</f>
        <v/>
      </c>
      <c r="AB475" s="5">
        <f>IF($T475="","",IFERROR(INDEX('DM_NgheNghiep'!$B$2:$B$11,AGGREGATE(15,6,ROW('DM_NgheNghiep'!$B$2:$B$11)-ROW('DM_NgheNghiep'!$B$2)+1/ISNUMBER(SEARCH(SUBSTITUTE(UPPER($T475)," ",""),'DM_NgheNghiep'!$C$2:$C$11)),1)),"Không tìm thấy"))</f>
        <v/>
      </c>
      <c r="AD475" s="5">
        <f>IF($U475="","",IFERROR(INDEX('DM_NoiCongTac'!$B$2:$B$11,AGGREGATE(15,6,ROW('DM_NoiCongTac'!$B$2:$B$11)-ROW('DM_NoiCongTac'!$B$2)+1/ISNUMBER(SEARCH(SUBSTITUTE(UPPER($U475)," ",""),'DM_NoiCongTac'!$C$2:$C$11)),1)),"Không tìm thấy"))</f>
        <v/>
      </c>
      <c r="AF475" s="5">
        <f>IF($V475="","",IFERROR(INDEX('DM_XaPhuong'!$B$2:$B$169,AGGREGATE(15,6,ROW('DM_XaPhuong'!$B$2:$B$169)-ROW('DM_XaPhuong'!$B$2)+1/ISNUMBER(SEARCH(SUBSTITUTE(UPPER($V475)," ",""),'DM_XaPhuong'!$C$2:$C$169)),1)),"Không tìm thấy"))</f>
        <v/>
      </c>
    </row>
    <row r="476">
      <c r="C476" s="5">
        <f>IF($B476="","",IFERROR(INDEX('DM_DoiTuong'!$B$2:$B$19,AGGREGATE(15,6,ROW('DM_DoiTuong'!$B$2:$B$19)-ROW('DM_DoiTuong'!$B$2)+1/ISNUMBER(SEARCH(SUBSTITUTE(UPPER($B476)," ",""),'DM_DoiTuong'!$C$2:$C$19)),1)),"Không tìm thấy"))</f>
        <v/>
      </c>
      <c r="E476" s="5">
        <f>IF($C476="","",IFERROR(INDEX('DM_DiaDiemKham'!$B$2:$B$6,AGGREGATE(15,6,ROW('DM_DiaDiemKham'!$B$2:$B$6)-ROW('DM_DiaDiemKham'!$B$2)+1/ISNUMBER(SEARCH(SUBSTITUTE(UPPER($C476)," ",""),'DM_DiaDiemKham'!$C$2:$C$6)),1)),"Không tìm thấy"))</f>
        <v/>
      </c>
      <c r="G476" s="5">
        <f>IF($D476="","",IFERROR(INDEX('DM_HinhThucChiTra'!$B$2:$B$5,AGGREGATE(15,6,ROW('DM_HinhThucChiTra'!$B$2:$B$5)-ROW('DM_HinhThucChiTra'!$B$2)+1/ISNUMBER(SEARCH(SUBSTITUTE(UPPER($D476)," ",""),'DM_HinhThucChiTra'!$C$2:$C$5)),1)),"Không tìm thấy"))</f>
        <v/>
      </c>
      <c r="I476" s="5">
        <f>IF($E476="","",IFERROR(INDEX('DM_HinhThucKham'!$B$2:$B$3,AGGREGATE(15,6,ROW('DM_HinhThucKham'!$B$2:$B$3)-ROW('DM_HinhThucKham'!$B$2)+1/ISNUMBER(SEARCH(SUBSTITUTE(UPPER($E476)," ",""),'DM_HinhThucKham'!$C$2:$C$3)),1)),"Không tìm thấy"))</f>
        <v/>
      </c>
      <c r="P476" s="5">
        <f>IF($K476="","",IFERROR(INDEX('DM_DanToc'!$B$2:$B$78,AGGREGATE(15,6,ROW('DM_DanToc'!$B$2:$B$78)-ROW('DM_DanToc'!$B$2)+1/ISNUMBER(SEARCH(SUBSTITUTE(UPPER($K476)," ",""),'DM_DanToc'!$C$2:$C$78)),1)),"Không tìm thấy"))</f>
        <v/>
      </c>
      <c r="W476" s="5">
        <f>IF($Q476="","",IFERROR(INDEX('DM_TinhThanh'!$B$2:$B$35,AGGREGATE(15,6,ROW('DM_TinhThanh'!$B$2:$B$35)-ROW('DM_TinhThanh'!$B$2)+1/ISNUMBER(SEARCH(SUBSTITUTE(UPPER($Q476)," ",""),'DM_TinhThanh'!$C$2:$C$35)),1)),"Không tìm thấy"))</f>
        <v/>
      </c>
      <c r="Y476" s="5">
        <f>IF($R476="","",IFERROR(INDEX('DM_XaPhuong'!$B$2:$B$169,AGGREGATE(15,6,ROW('DM_XaPhuong'!$B$2:$B$169)-ROW('DM_XaPhuong'!$B$2)+1/ISNUMBER(SEARCH(SUBSTITUTE(UPPER($R476)," ",""),'DM_XaPhuong'!$C$2:$C$169)),1)),"Không tìm thấy"))</f>
        <v/>
      </c>
      <c r="AB476" s="5">
        <f>IF($T476="","",IFERROR(INDEX('DM_NgheNghiep'!$B$2:$B$11,AGGREGATE(15,6,ROW('DM_NgheNghiep'!$B$2:$B$11)-ROW('DM_NgheNghiep'!$B$2)+1/ISNUMBER(SEARCH(SUBSTITUTE(UPPER($T476)," ",""),'DM_NgheNghiep'!$C$2:$C$11)),1)),"Không tìm thấy"))</f>
        <v/>
      </c>
      <c r="AD476" s="5">
        <f>IF($U476="","",IFERROR(INDEX('DM_NoiCongTac'!$B$2:$B$11,AGGREGATE(15,6,ROW('DM_NoiCongTac'!$B$2:$B$11)-ROW('DM_NoiCongTac'!$B$2)+1/ISNUMBER(SEARCH(SUBSTITUTE(UPPER($U476)," ",""),'DM_NoiCongTac'!$C$2:$C$11)),1)),"Không tìm thấy"))</f>
        <v/>
      </c>
      <c r="AF476" s="5">
        <f>IF($V476="","",IFERROR(INDEX('DM_XaPhuong'!$B$2:$B$169,AGGREGATE(15,6,ROW('DM_XaPhuong'!$B$2:$B$169)-ROW('DM_XaPhuong'!$B$2)+1/ISNUMBER(SEARCH(SUBSTITUTE(UPPER($V476)," ",""),'DM_XaPhuong'!$C$2:$C$169)),1)),"Không tìm thấy"))</f>
        <v/>
      </c>
    </row>
    <row r="477">
      <c r="C477" s="5">
        <f>IF($B477="","",IFERROR(INDEX('DM_DoiTuong'!$B$2:$B$19,AGGREGATE(15,6,ROW('DM_DoiTuong'!$B$2:$B$19)-ROW('DM_DoiTuong'!$B$2)+1/ISNUMBER(SEARCH(SUBSTITUTE(UPPER($B477)," ",""),'DM_DoiTuong'!$C$2:$C$19)),1)),"Không tìm thấy"))</f>
        <v/>
      </c>
      <c r="E477" s="5">
        <f>IF($C477="","",IFERROR(INDEX('DM_DiaDiemKham'!$B$2:$B$6,AGGREGATE(15,6,ROW('DM_DiaDiemKham'!$B$2:$B$6)-ROW('DM_DiaDiemKham'!$B$2)+1/ISNUMBER(SEARCH(SUBSTITUTE(UPPER($C477)," ",""),'DM_DiaDiemKham'!$C$2:$C$6)),1)),"Không tìm thấy"))</f>
        <v/>
      </c>
      <c r="G477" s="5">
        <f>IF($D477="","",IFERROR(INDEX('DM_HinhThucChiTra'!$B$2:$B$5,AGGREGATE(15,6,ROW('DM_HinhThucChiTra'!$B$2:$B$5)-ROW('DM_HinhThucChiTra'!$B$2)+1/ISNUMBER(SEARCH(SUBSTITUTE(UPPER($D477)," ",""),'DM_HinhThucChiTra'!$C$2:$C$5)),1)),"Không tìm thấy"))</f>
        <v/>
      </c>
      <c r="I477" s="5">
        <f>IF($E477="","",IFERROR(INDEX('DM_HinhThucKham'!$B$2:$B$3,AGGREGATE(15,6,ROW('DM_HinhThucKham'!$B$2:$B$3)-ROW('DM_HinhThucKham'!$B$2)+1/ISNUMBER(SEARCH(SUBSTITUTE(UPPER($E477)," ",""),'DM_HinhThucKham'!$C$2:$C$3)),1)),"Không tìm thấy"))</f>
        <v/>
      </c>
      <c r="P477" s="5">
        <f>IF($K477="","",IFERROR(INDEX('DM_DanToc'!$B$2:$B$78,AGGREGATE(15,6,ROW('DM_DanToc'!$B$2:$B$78)-ROW('DM_DanToc'!$B$2)+1/ISNUMBER(SEARCH(SUBSTITUTE(UPPER($K477)," ",""),'DM_DanToc'!$C$2:$C$78)),1)),"Không tìm thấy"))</f>
        <v/>
      </c>
      <c r="W477" s="5">
        <f>IF($Q477="","",IFERROR(INDEX('DM_TinhThanh'!$B$2:$B$35,AGGREGATE(15,6,ROW('DM_TinhThanh'!$B$2:$B$35)-ROW('DM_TinhThanh'!$B$2)+1/ISNUMBER(SEARCH(SUBSTITUTE(UPPER($Q477)," ",""),'DM_TinhThanh'!$C$2:$C$35)),1)),"Không tìm thấy"))</f>
        <v/>
      </c>
      <c r="Y477" s="5">
        <f>IF($R477="","",IFERROR(INDEX('DM_XaPhuong'!$B$2:$B$169,AGGREGATE(15,6,ROW('DM_XaPhuong'!$B$2:$B$169)-ROW('DM_XaPhuong'!$B$2)+1/ISNUMBER(SEARCH(SUBSTITUTE(UPPER($R477)," ",""),'DM_XaPhuong'!$C$2:$C$169)),1)),"Không tìm thấy"))</f>
        <v/>
      </c>
      <c r="AB477" s="5">
        <f>IF($T477="","",IFERROR(INDEX('DM_NgheNghiep'!$B$2:$B$11,AGGREGATE(15,6,ROW('DM_NgheNghiep'!$B$2:$B$11)-ROW('DM_NgheNghiep'!$B$2)+1/ISNUMBER(SEARCH(SUBSTITUTE(UPPER($T477)," ",""),'DM_NgheNghiep'!$C$2:$C$11)),1)),"Không tìm thấy"))</f>
        <v/>
      </c>
      <c r="AD477" s="5">
        <f>IF($U477="","",IFERROR(INDEX('DM_NoiCongTac'!$B$2:$B$11,AGGREGATE(15,6,ROW('DM_NoiCongTac'!$B$2:$B$11)-ROW('DM_NoiCongTac'!$B$2)+1/ISNUMBER(SEARCH(SUBSTITUTE(UPPER($U477)," ",""),'DM_NoiCongTac'!$C$2:$C$11)),1)),"Không tìm thấy"))</f>
        <v/>
      </c>
      <c r="AF477" s="5">
        <f>IF($V477="","",IFERROR(INDEX('DM_XaPhuong'!$B$2:$B$169,AGGREGATE(15,6,ROW('DM_XaPhuong'!$B$2:$B$169)-ROW('DM_XaPhuong'!$B$2)+1/ISNUMBER(SEARCH(SUBSTITUTE(UPPER($V477)," ",""),'DM_XaPhuong'!$C$2:$C$169)),1)),"Không tìm thấy"))</f>
        <v/>
      </c>
    </row>
    <row r="478">
      <c r="C478" s="5">
        <f>IF($B478="","",IFERROR(INDEX('DM_DoiTuong'!$B$2:$B$19,AGGREGATE(15,6,ROW('DM_DoiTuong'!$B$2:$B$19)-ROW('DM_DoiTuong'!$B$2)+1/ISNUMBER(SEARCH(SUBSTITUTE(UPPER($B478)," ",""),'DM_DoiTuong'!$C$2:$C$19)),1)),"Không tìm thấy"))</f>
        <v/>
      </c>
      <c r="E478" s="5">
        <f>IF($C478="","",IFERROR(INDEX('DM_DiaDiemKham'!$B$2:$B$6,AGGREGATE(15,6,ROW('DM_DiaDiemKham'!$B$2:$B$6)-ROW('DM_DiaDiemKham'!$B$2)+1/ISNUMBER(SEARCH(SUBSTITUTE(UPPER($C478)," ",""),'DM_DiaDiemKham'!$C$2:$C$6)),1)),"Không tìm thấy"))</f>
        <v/>
      </c>
      <c r="G478" s="5">
        <f>IF($D478="","",IFERROR(INDEX('DM_HinhThucChiTra'!$B$2:$B$5,AGGREGATE(15,6,ROW('DM_HinhThucChiTra'!$B$2:$B$5)-ROW('DM_HinhThucChiTra'!$B$2)+1/ISNUMBER(SEARCH(SUBSTITUTE(UPPER($D478)," ",""),'DM_HinhThucChiTra'!$C$2:$C$5)),1)),"Không tìm thấy"))</f>
        <v/>
      </c>
      <c r="I478" s="5">
        <f>IF($E478="","",IFERROR(INDEX('DM_HinhThucKham'!$B$2:$B$3,AGGREGATE(15,6,ROW('DM_HinhThucKham'!$B$2:$B$3)-ROW('DM_HinhThucKham'!$B$2)+1/ISNUMBER(SEARCH(SUBSTITUTE(UPPER($E478)," ",""),'DM_HinhThucKham'!$C$2:$C$3)),1)),"Không tìm thấy"))</f>
        <v/>
      </c>
      <c r="P478" s="5">
        <f>IF($K478="","",IFERROR(INDEX('DM_DanToc'!$B$2:$B$78,AGGREGATE(15,6,ROW('DM_DanToc'!$B$2:$B$78)-ROW('DM_DanToc'!$B$2)+1/ISNUMBER(SEARCH(SUBSTITUTE(UPPER($K478)," ",""),'DM_DanToc'!$C$2:$C$78)),1)),"Không tìm thấy"))</f>
        <v/>
      </c>
      <c r="W478" s="5">
        <f>IF($Q478="","",IFERROR(INDEX('DM_TinhThanh'!$B$2:$B$35,AGGREGATE(15,6,ROW('DM_TinhThanh'!$B$2:$B$35)-ROW('DM_TinhThanh'!$B$2)+1/ISNUMBER(SEARCH(SUBSTITUTE(UPPER($Q478)," ",""),'DM_TinhThanh'!$C$2:$C$35)),1)),"Không tìm thấy"))</f>
        <v/>
      </c>
      <c r="Y478" s="5">
        <f>IF($R478="","",IFERROR(INDEX('DM_XaPhuong'!$B$2:$B$169,AGGREGATE(15,6,ROW('DM_XaPhuong'!$B$2:$B$169)-ROW('DM_XaPhuong'!$B$2)+1/ISNUMBER(SEARCH(SUBSTITUTE(UPPER($R478)," ",""),'DM_XaPhuong'!$C$2:$C$169)),1)),"Không tìm thấy"))</f>
        <v/>
      </c>
      <c r="AB478" s="5">
        <f>IF($T478="","",IFERROR(INDEX('DM_NgheNghiep'!$B$2:$B$11,AGGREGATE(15,6,ROW('DM_NgheNghiep'!$B$2:$B$11)-ROW('DM_NgheNghiep'!$B$2)+1/ISNUMBER(SEARCH(SUBSTITUTE(UPPER($T478)," ",""),'DM_NgheNghiep'!$C$2:$C$11)),1)),"Không tìm thấy"))</f>
        <v/>
      </c>
      <c r="AD478" s="5">
        <f>IF($U478="","",IFERROR(INDEX('DM_NoiCongTac'!$B$2:$B$11,AGGREGATE(15,6,ROW('DM_NoiCongTac'!$B$2:$B$11)-ROW('DM_NoiCongTac'!$B$2)+1/ISNUMBER(SEARCH(SUBSTITUTE(UPPER($U478)," ",""),'DM_NoiCongTac'!$C$2:$C$11)),1)),"Không tìm thấy"))</f>
        <v/>
      </c>
      <c r="AF478" s="5">
        <f>IF($V478="","",IFERROR(INDEX('DM_XaPhuong'!$B$2:$B$169,AGGREGATE(15,6,ROW('DM_XaPhuong'!$B$2:$B$169)-ROW('DM_XaPhuong'!$B$2)+1/ISNUMBER(SEARCH(SUBSTITUTE(UPPER($V478)," ",""),'DM_XaPhuong'!$C$2:$C$169)),1)),"Không tìm thấy"))</f>
        <v/>
      </c>
    </row>
    <row r="479">
      <c r="C479" s="5">
        <f>IF($B479="","",IFERROR(INDEX('DM_DoiTuong'!$B$2:$B$19,AGGREGATE(15,6,ROW('DM_DoiTuong'!$B$2:$B$19)-ROW('DM_DoiTuong'!$B$2)+1/ISNUMBER(SEARCH(SUBSTITUTE(UPPER($B479)," ",""),'DM_DoiTuong'!$C$2:$C$19)),1)),"Không tìm thấy"))</f>
        <v/>
      </c>
      <c r="E479" s="5">
        <f>IF($C479="","",IFERROR(INDEX('DM_DiaDiemKham'!$B$2:$B$6,AGGREGATE(15,6,ROW('DM_DiaDiemKham'!$B$2:$B$6)-ROW('DM_DiaDiemKham'!$B$2)+1/ISNUMBER(SEARCH(SUBSTITUTE(UPPER($C479)," ",""),'DM_DiaDiemKham'!$C$2:$C$6)),1)),"Không tìm thấy"))</f>
        <v/>
      </c>
      <c r="G479" s="5">
        <f>IF($D479="","",IFERROR(INDEX('DM_HinhThucChiTra'!$B$2:$B$5,AGGREGATE(15,6,ROW('DM_HinhThucChiTra'!$B$2:$B$5)-ROW('DM_HinhThucChiTra'!$B$2)+1/ISNUMBER(SEARCH(SUBSTITUTE(UPPER($D479)," ",""),'DM_HinhThucChiTra'!$C$2:$C$5)),1)),"Không tìm thấy"))</f>
        <v/>
      </c>
      <c r="I479" s="5">
        <f>IF($E479="","",IFERROR(INDEX('DM_HinhThucKham'!$B$2:$B$3,AGGREGATE(15,6,ROW('DM_HinhThucKham'!$B$2:$B$3)-ROW('DM_HinhThucKham'!$B$2)+1/ISNUMBER(SEARCH(SUBSTITUTE(UPPER($E479)," ",""),'DM_HinhThucKham'!$C$2:$C$3)),1)),"Không tìm thấy"))</f>
        <v/>
      </c>
      <c r="P479" s="5">
        <f>IF($K479="","",IFERROR(INDEX('DM_DanToc'!$B$2:$B$78,AGGREGATE(15,6,ROW('DM_DanToc'!$B$2:$B$78)-ROW('DM_DanToc'!$B$2)+1/ISNUMBER(SEARCH(SUBSTITUTE(UPPER($K479)," ",""),'DM_DanToc'!$C$2:$C$78)),1)),"Không tìm thấy"))</f>
        <v/>
      </c>
      <c r="W479" s="5">
        <f>IF($Q479="","",IFERROR(INDEX('DM_TinhThanh'!$B$2:$B$35,AGGREGATE(15,6,ROW('DM_TinhThanh'!$B$2:$B$35)-ROW('DM_TinhThanh'!$B$2)+1/ISNUMBER(SEARCH(SUBSTITUTE(UPPER($Q479)," ",""),'DM_TinhThanh'!$C$2:$C$35)),1)),"Không tìm thấy"))</f>
        <v/>
      </c>
      <c r="Y479" s="5">
        <f>IF($R479="","",IFERROR(INDEX('DM_XaPhuong'!$B$2:$B$169,AGGREGATE(15,6,ROW('DM_XaPhuong'!$B$2:$B$169)-ROW('DM_XaPhuong'!$B$2)+1/ISNUMBER(SEARCH(SUBSTITUTE(UPPER($R479)," ",""),'DM_XaPhuong'!$C$2:$C$169)),1)),"Không tìm thấy"))</f>
        <v/>
      </c>
      <c r="AB479" s="5">
        <f>IF($T479="","",IFERROR(INDEX('DM_NgheNghiep'!$B$2:$B$11,AGGREGATE(15,6,ROW('DM_NgheNghiep'!$B$2:$B$11)-ROW('DM_NgheNghiep'!$B$2)+1/ISNUMBER(SEARCH(SUBSTITUTE(UPPER($T479)," ",""),'DM_NgheNghiep'!$C$2:$C$11)),1)),"Không tìm thấy"))</f>
        <v/>
      </c>
      <c r="AD479" s="5">
        <f>IF($U479="","",IFERROR(INDEX('DM_NoiCongTac'!$B$2:$B$11,AGGREGATE(15,6,ROW('DM_NoiCongTac'!$B$2:$B$11)-ROW('DM_NoiCongTac'!$B$2)+1/ISNUMBER(SEARCH(SUBSTITUTE(UPPER($U479)," ",""),'DM_NoiCongTac'!$C$2:$C$11)),1)),"Không tìm thấy"))</f>
        <v/>
      </c>
      <c r="AF479" s="5">
        <f>IF($V479="","",IFERROR(INDEX('DM_XaPhuong'!$B$2:$B$169,AGGREGATE(15,6,ROW('DM_XaPhuong'!$B$2:$B$169)-ROW('DM_XaPhuong'!$B$2)+1/ISNUMBER(SEARCH(SUBSTITUTE(UPPER($V479)," ",""),'DM_XaPhuong'!$C$2:$C$169)),1)),"Không tìm thấy"))</f>
        <v/>
      </c>
    </row>
    <row r="480">
      <c r="C480" s="5">
        <f>IF($B480="","",IFERROR(INDEX('DM_DoiTuong'!$B$2:$B$19,AGGREGATE(15,6,ROW('DM_DoiTuong'!$B$2:$B$19)-ROW('DM_DoiTuong'!$B$2)+1/ISNUMBER(SEARCH(SUBSTITUTE(UPPER($B480)," ",""),'DM_DoiTuong'!$C$2:$C$19)),1)),"Không tìm thấy"))</f>
        <v/>
      </c>
      <c r="E480" s="5">
        <f>IF($C480="","",IFERROR(INDEX('DM_DiaDiemKham'!$B$2:$B$6,AGGREGATE(15,6,ROW('DM_DiaDiemKham'!$B$2:$B$6)-ROW('DM_DiaDiemKham'!$B$2)+1/ISNUMBER(SEARCH(SUBSTITUTE(UPPER($C480)," ",""),'DM_DiaDiemKham'!$C$2:$C$6)),1)),"Không tìm thấy"))</f>
        <v/>
      </c>
      <c r="G480" s="5">
        <f>IF($D480="","",IFERROR(INDEX('DM_HinhThucChiTra'!$B$2:$B$5,AGGREGATE(15,6,ROW('DM_HinhThucChiTra'!$B$2:$B$5)-ROW('DM_HinhThucChiTra'!$B$2)+1/ISNUMBER(SEARCH(SUBSTITUTE(UPPER($D480)," ",""),'DM_HinhThucChiTra'!$C$2:$C$5)),1)),"Không tìm thấy"))</f>
        <v/>
      </c>
      <c r="I480" s="5">
        <f>IF($E480="","",IFERROR(INDEX('DM_HinhThucKham'!$B$2:$B$3,AGGREGATE(15,6,ROW('DM_HinhThucKham'!$B$2:$B$3)-ROW('DM_HinhThucKham'!$B$2)+1/ISNUMBER(SEARCH(SUBSTITUTE(UPPER($E480)," ",""),'DM_HinhThucKham'!$C$2:$C$3)),1)),"Không tìm thấy"))</f>
        <v/>
      </c>
      <c r="P480" s="5">
        <f>IF($K480="","",IFERROR(INDEX('DM_DanToc'!$B$2:$B$78,AGGREGATE(15,6,ROW('DM_DanToc'!$B$2:$B$78)-ROW('DM_DanToc'!$B$2)+1/ISNUMBER(SEARCH(SUBSTITUTE(UPPER($K480)," ",""),'DM_DanToc'!$C$2:$C$78)),1)),"Không tìm thấy"))</f>
        <v/>
      </c>
      <c r="W480" s="5">
        <f>IF($Q480="","",IFERROR(INDEX('DM_TinhThanh'!$B$2:$B$35,AGGREGATE(15,6,ROW('DM_TinhThanh'!$B$2:$B$35)-ROW('DM_TinhThanh'!$B$2)+1/ISNUMBER(SEARCH(SUBSTITUTE(UPPER($Q480)," ",""),'DM_TinhThanh'!$C$2:$C$35)),1)),"Không tìm thấy"))</f>
        <v/>
      </c>
      <c r="Y480" s="5">
        <f>IF($R480="","",IFERROR(INDEX('DM_XaPhuong'!$B$2:$B$169,AGGREGATE(15,6,ROW('DM_XaPhuong'!$B$2:$B$169)-ROW('DM_XaPhuong'!$B$2)+1/ISNUMBER(SEARCH(SUBSTITUTE(UPPER($R480)," ",""),'DM_XaPhuong'!$C$2:$C$169)),1)),"Không tìm thấy"))</f>
        <v/>
      </c>
      <c r="AB480" s="5">
        <f>IF($T480="","",IFERROR(INDEX('DM_NgheNghiep'!$B$2:$B$11,AGGREGATE(15,6,ROW('DM_NgheNghiep'!$B$2:$B$11)-ROW('DM_NgheNghiep'!$B$2)+1/ISNUMBER(SEARCH(SUBSTITUTE(UPPER($T480)," ",""),'DM_NgheNghiep'!$C$2:$C$11)),1)),"Không tìm thấy"))</f>
        <v/>
      </c>
      <c r="AD480" s="5">
        <f>IF($U480="","",IFERROR(INDEX('DM_NoiCongTac'!$B$2:$B$11,AGGREGATE(15,6,ROW('DM_NoiCongTac'!$B$2:$B$11)-ROW('DM_NoiCongTac'!$B$2)+1/ISNUMBER(SEARCH(SUBSTITUTE(UPPER($U480)," ",""),'DM_NoiCongTac'!$C$2:$C$11)),1)),"Không tìm thấy"))</f>
        <v/>
      </c>
      <c r="AF480" s="5">
        <f>IF($V480="","",IFERROR(INDEX('DM_XaPhuong'!$B$2:$B$169,AGGREGATE(15,6,ROW('DM_XaPhuong'!$B$2:$B$169)-ROW('DM_XaPhuong'!$B$2)+1/ISNUMBER(SEARCH(SUBSTITUTE(UPPER($V480)," ",""),'DM_XaPhuong'!$C$2:$C$169)),1)),"Không tìm thấy"))</f>
        <v/>
      </c>
    </row>
    <row r="481">
      <c r="C481" s="5">
        <f>IF($B481="","",IFERROR(INDEX('DM_DoiTuong'!$B$2:$B$19,AGGREGATE(15,6,ROW('DM_DoiTuong'!$B$2:$B$19)-ROW('DM_DoiTuong'!$B$2)+1/ISNUMBER(SEARCH(SUBSTITUTE(UPPER($B481)," ",""),'DM_DoiTuong'!$C$2:$C$19)),1)),"Không tìm thấy"))</f>
        <v/>
      </c>
      <c r="E481" s="5">
        <f>IF($C481="","",IFERROR(INDEX('DM_DiaDiemKham'!$B$2:$B$6,AGGREGATE(15,6,ROW('DM_DiaDiemKham'!$B$2:$B$6)-ROW('DM_DiaDiemKham'!$B$2)+1/ISNUMBER(SEARCH(SUBSTITUTE(UPPER($C481)," ",""),'DM_DiaDiemKham'!$C$2:$C$6)),1)),"Không tìm thấy"))</f>
        <v/>
      </c>
      <c r="G481" s="5">
        <f>IF($D481="","",IFERROR(INDEX('DM_HinhThucChiTra'!$B$2:$B$5,AGGREGATE(15,6,ROW('DM_HinhThucChiTra'!$B$2:$B$5)-ROW('DM_HinhThucChiTra'!$B$2)+1/ISNUMBER(SEARCH(SUBSTITUTE(UPPER($D481)," ",""),'DM_HinhThucChiTra'!$C$2:$C$5)),1)),"Không tìm thấy"))</f>
        <v/>
      </c>
      <c r="I481" s="5">
        <f>IF($E481="","",IFERROR(INDEX('DM_HinhThucKham'!$B$2:$B$3,AGGREGATE(15,6,ROW('DM_HinhThucKham'!$B$2:$B$3)-ROW('DM_HinhThucKham'!$B$2)+1/ISNUMBER(SEARCH(SUBSTITUTE(UPPER($E481)," ",""),'DM_HinhThucKham'!$C$2:$C$3)),1)),"Không tìm thấy"))</f>
        <v/>
      </c>
      <c r="P481" s="5">
        <f>IF($K481="","",IFERROR(INDEX('DM_DanToc'!$B$2:$B$78,AGGREGATE(15,6,ROW('DM_DanToc'!$B$2:$B$78)-ROW('DM_DanToc'!$B$2)+1/ISNUMBER(SEARCH(SUBSTITUTE(UPPER($K481)," ",""),'DM_DanToc'!$C$2:$C$78)),1)),"Không tìm thấy"))</f>
        <v/>
      </c>
      <c r="W481" s="5">
        <f>IF($Q481="","",IFERROR(INDEX('DM_TinhThanh'!$B$2:$B$35,AGGREGATE(15,6,ROW('DM_TinhThanh'!$B$2:$B$35)-ROW('DM_TinhThanh'!$B$2)+1/ISNUMBER(SEARCH(SUBSTITUTE(UPPER($Q481)," ",""),'DM_TinhThanh'!$C$2:$C$35)),1)),"Không tìm thấy"))</f>
        <v/>
      </c>
      <c r="Y481" s="5">
        <f>IF($R481="","",IFERROR(INDEX('DM_XaPhuong'!$B$2:$B$169,AGGREGATE(15,6,ROW('DM_XaPhuong'!$B$2:$B$169)-ROW('DM_XaPhuong'!$B$2)+1/ISNUMBER(SEARCH(SUBSTITUTE(UPPER($R481)," ",""),'DM_XaPhuong'!$C$2:$C$169)),1)),"Không tìm thấy"))</f>
        <v/>
      </c>
      <c r="AB481" s="5">
        <f>IF($T481="","",IFERROR(INDEX('DM_NgheNghiep'!$B$2:$B$11,AGGREGATE(15,6,ROW('DM_NgheNghiep'!$B$2:$B$11)-ROW('DM_NgheNghiep'!$B$2)+1/ISNUMBER(SEARCH(SUBSTITUTE(UPPER($T481)," ",""),'DM_NgheNghiep'!$C$2:$C$11)),1)),"Không tìm thấy"))</f>
        <v/>
      </c>
      <c r="AD481" s="5">
        <f>IF($U481="","",IFERROR(INDEX('DM_NoiCongTac'!$B$2:$B$11,AGGREGATE(15,6,ROW('DM_NoiCongTac'!$B$2:$B$11)-ROW('DM_NoiCongTac'!$B$2)+1/ISNUMBER(SEARCH(SUBSTITUTE(UPPER($U481)," ",""),'DM_NoiCongTac'!$C$2:$C$11)),1)),"Không tìm thấy"))</f>
        <v/>
      </c>
      <c r="AF481" s="5">
        <f>IF($V481="","",IFERROR(INDEX('DM_XaPhuong'!$B$2:$B$169,AGGREGATE(15,6,ROW('DM_XaPhuong'!$B$2:$B$169)-ROW('DM_XaPhuong'!$B$2)+1/ISNUMBER(SEARCH(SUBSTITUTE(UPPER($V481)," ",""),'DM_XaPhuong'!$C$2:$C$169)),1)),"Không tìm thấy"))</f>
        <v/>
      </c>
    </row>
    <row r="482">
      <c r="C482" s="5">
        <f>IF($B482="","",IFERROR(INDEX('DM_DoiTuong'!$B$2:$B$19,AGGREGATE(15,6,ROW('DM_DoiTuong'!$B$2:$B$19)-ROW('DM_DoiTuong'!$B$2)+1/ISNUMBER(SEARCH(SUBSTITUTE(UPPER($B482)," ",""),'DM_DoiTuong'!$C$2:$C$19)),1)),"Không tìm thấy"))</f>
        <v/>
      </c>
      <c r="E482" s="5">
        <f>IF($C482="","",IFERROR(INDEX('DM_DiaDiemKham'!$B$2:$B$6,AGGREGATE(15,6,ROW('DM_DiaDiemKham'!$B$2:$B$6)-ROW('DM_DiaDiemKham'!$B$2)+1/ISNUMBER(SEARCH(SUBSTITUTE(UPPER($C482)," ",""),'DM_DiaDiemKham'!$C$2:$C$6)),1)),"Không tìm thấy"))</f>
        <v/>
      </c>
      <c r="G482" s="5">
        <f>IF($D482="","",IFERROR(INDEX('DM_HinhThucChiTra'!$B$2:$B$5,AGGREGATE(15,6,ROW('DM_HinhThucChiTra'!$B$2:$B$5)-ROW('DM_HinhThucChiTra'!$B$2)+1/ISNUMBER(SEARCH(SUBSTITUTE(UPPER($D482)," ",""),'DM_HinhThucChiTra'!$C$2:$C$5)),1)),"Không tìm thấy"))</f>
        <v/>
      </c>
      <c r="I482" s="5">
        <f>IF($E482="","",IFERROR(INDEX('DM_HinhThucKham'!$B$2:$B$3,AGGREGATE(15,6,ROW('DM_HinhThucKham'!$B$2:$B$3)-ROW('DM_HinhThucKham'!$B$2)+1/ISNUMBER(SEARCH(SUBSTITUTE(UPPER($E482)," ",""),'DM_HinhThucKham'!$C$2:$C$3)),1)),"Không tìm thấy"))</f>
        <v/>
      </c>
      <c r="P482" s="5">
        <f>IF($K482="","",IFERROR(INDEX('DM_DanToc'!$B$2:$B$78,AGGREGATE(15,6,ROW('DM_DanToc'!$B$2:$B$78)-ROW('DM_DanToc'!$B$2)+1/ISNUMBER(SEARCH(SUBSTITUTE(UPPER($K482)," ",""),'DM_DanToc'!$C$2:$C$78)),1)),"Không tìm thấy"))</f>
        <v/>
      </c>
      <c r="W482" s="5">
        <f>IF($Q482="","",IFERROR(INDEX('DM_TinhThanh'!$B$2:$B$35,AGGREGATE(15,6,ROW('DM_TinhThanh'!$B$2:$B$35)-ROW('DM_TinhThanh'!$B$2)+1/ISNUMBER(SEARCH(SUBSTITUTE(UPPER($Q482)," ",""),'DM_TinhThanh'!$C$2:$C$35)),1)),"Không tìm thấy"))</f>
        <v/>
      </c>
      <c r="Y482" s="5">
        <f>IF($R482="","",IFERROR(INDEX('DM_XaPhuong'!$B$2:$B$169,AGGREGATE(15,6,ROW('DM_XaPhuong'!$B$2:$B$169)-ROW('DM_XaPhuong'!$B$2)+1/ISNUMBER(SEARCH(SUBSTITUTE(UPPER($R482)," ",""),'DM_XaPhuong'!$C$2:$C$169)),1)),"Không tìm thấy"))</f>
        <v/>
      </c>
      <c r="AB482" s="5">
        <f>IF($T482="","",IFERROR(INDEX('DM_NgheNghiep'!$B$2:$B$11,AGGREGATE(15,6,ROW('DM_NgheNghiep'!$B$2:$B$11)-ROW('DM_NgheNghiep'!$B$2)+1/ISNUMBER(SEARCH(SUBSTITUTE(UPPER($T482)," ",""),'DM_NgheNghiep'!$C$2:$C$11)),1)),"Không tìm thấy"))</f>
        <v/>
      </c>
      <c r="AD482" s="5">
        <f>IF($U482="","",IFERROR(INDEX('DM_NoiCongTac'!$B$2:$B$11,AGGREGATE(15,6,ROW('DM_NoiCongTac'!$B$2:$B$11)-ROW('DM_NoiCongTac'!$B$2)+1/ISNUMBER(SEARCH(SUBSTITUTE(UPPER($U482)," ",""),'DM_NoiCongTac'!$C$2:$C$11)),1)),"Không tìm thấy"))</f>
        <v/>
      </c>
      <c r="AF482" s="5">
        <f>IF($V482="","",IFERROR(INDEX('DM_XaPhuong'!$B$2:$B$169,AGGREGATE(15,6,ROW('DM_XaPhuong'!$B$2:$B$169)-ROW('DM_XaPhuong'!$B$2)+1/ISNUMBER(SEARCH(SUBSTITUTE(UPPER($V482)," ",""),'DM_XaPhuong'!$C$2:$C$169)),1)),"Không tìm thấy"))</f>
        <v/>
      </c>
    </row>
    <row r="483">
      <c r="C483" s="5">
        <f>IF($B483="","",IFERROR(INDEX('DM_DoiTuong'!$B$2:$B$19,AGGREGATE(15,6,ROW('DM_DoiTuong'!$B$2:$B$19)-ROW('DM_DoiTuong'!$B$2)+1/ISNUMBER(SEARCH(SUBSTITUTE(UPPER($B483)," ",""),'DM_DoiTuong'!$C$2:$C$19)),1)),"Không tìm thấy"))</f>
        <v/>
      </c>
      <c r="E483" s="5">
        <f>IF($C483="","",IFERROR(INDEX('DM_DiaDiemKham'!$B$2:$B$6,AGGREGATE(15,6,ROW('DM_DiaDiemKham'!$B$2:$B$6)-ROW('DM_DiaDiemKham'!$B$2)+1/ISNUMBER(SEARCH(SUBSTITUTE(UPPER($C483)," ",""),'DM_DiaDiemKham'!$C$2:$C$6)),1)),"Không tìm thấy"))</f>
        <v/>
      </c>
      <c r="G483" s="5">
        <f>IF($D483="","",IFERROR(INDEX('DM_HinhThucChiTra'!$B$2:$B$5,AGGREGATE(15,6,ROW('DM_HinhThucChiTra'!$B$2:$B$5)-ROW('DM_HinhThucChiTra'!$B$2)+1/ISNUMBER(SEARCH(SUBSTITUTE(UPPER($D483)," ",""),'DM_HinhThucChiTra'!$C$2:$C$5)),1)),"Không tìm thấy"))</f>
        <v/>
      </c>
      <c r="I483" s="5">
        <f>IF($E483="","",IFERROR(INDEX('DM_HinhThucKham'!$B$2:$B$3,AGGREGATE(15,6,ROW('DM_HinhThucKham'!$B$2:$B$3)-ROW('DM_HinhThucKham'!$B$2)+1/ISNUMBER(SEARCH(SUBSTITUTE(UPPER($E483)," ",""),'DM_HinhThucKham'!$C$2:$C$3)),1)),"Không tìm thấy"))</f>
        <v/>
      </c>
      <c r="P483" s="5">
        <f>IF($K483="","",IFERROR(INDEX('DM_DanToc'!$B$2:$B$78,AGGREGATE(15,6,ROW('DM_DanToc'!$B$2:$B$78)-ROW('DM_DanToc'!$B$2)+1/ISNUMBER(SEARCH(SUBSTITUTE(UPPER($K483)," ",""),'DM_DanToc'!$C$2:$C$78)),1)),"Không tìm thấy"))</f>
        <v/>
      </c>
      <c r="W483" s="5">
        <f>IF($Q483="","",IFERROR(INDEX('DM_TinhThanh'!$B$2:$B$35,AGGREGATE(15,6,ROW('DM_TinhThanh'!$B$2:$B$35)-ROW('DM_TinhThanh'!$B$2)+1/ISNUMBER(SEARCH(SUBSTITUTE(UPPER($Q483)," ",""),'DM_TinhThanh'!$C$2:$C$35)),1)),"Không tìm thấy"))</f>
        <v/>
      </c>
      <c r="Y483" s="5">
        <f>IF($R483="","",IFERROR(INDEX('DM_XaPhuong'!$B$2:$B$169,AGGREGATE(15,6,ROW('DM_XaPhuong'!$B$2:$B$169)-ROW('DM_XaPhuong'!$B$2)+1/ISNUMBER(SEARCH(SUBSTITUTE(UPPER($R483)," ",""),'DM_XaPhuong'!$C$2:$C$169)),1)),"Không tìm thấy"))</f>
        <v/>
      </c>
      <c r="AB483" s="5">
        <f>IF($T483="","",IFERROR(INDEX('DM_NgheNghiep'!$B$2:$B$11,AGGREGATE(15,6,ROW('DM_NgheNghiep'!$B$2:$B$11)-ROW('DM_NgheNghiep'!$B$2)+1/ISNUMBER(SEARCH(SUBSTITUTE(UPPER($T483)," ",""),'DM_NgheNghiep'!$C$2:$C$11)),1)),"Không tìm thấy"))</f>
        <v/>
      </c>
      <c r="AD483" s="5">
        <f>IF($U483="","",IFERROR(INDEX('DM_NoiCongTac'!$B$2:$B$11,AGGREGATE(15,6,ROW('DM_NoiCongTac'!$B$2:$B$11)-ROW('DM_NoiCongTac'!$B$2)+1/ISNUMBER(SEARCH(SUBSTITUTE(UPPER($U483)," ",""),'DM_NoiCongTac'!$C$2:$C$11)),1)),"Không tìm thấy"))</f>
        <v/>
      </c>
      <c r="AF483" s="5">
        <f>IF($V483="","",IFERROR(INDEX('DM_XaPhuong'!$B$2:$B$169,AGGREGATE(15,6,ROW('DM_XaPhuong'!$B$2:$B$169)-ROW('DM_XaPhuong'!$B$2)+1/ISNUMBER(SEARCH(SUBSTITUTE(UPPER($V483)," ",""),'DM_XaPhuong'!$C$2:$C$169)),1)),"Không tìm thấy"))</f>
        <v/>
      </c>
    </row>
    <row r="484">
      <c r="C484" s="5">
        <f>IF($B484="","",IFERROR(INDEX('DM_DoiTuong'!$B$2:$B$19,AGGREGATE(15,6,ROW('DM_DoiTuong'!$B$2:$B$19)-ROW('DM_DoiTuong'!$B$2)+1/ISNUMBER(SEARCH(SUBSTITUTE(UPPER($B484)," ",""),'DM_DoiTuong'!$C$2:$C$19)),1)),"Không tìm thấy"))</f>
        <v/>
      </c>
      <c r="E484" s="5">
        <f>IF($C484="","",IFERROR(INDEX('DM_DiaDiemKham'!$B$2:$B$6,AGGREGATE(15,6,ROW('DM_DiaDiemKham'!$B$2:$B$6)-ROW('DM_DiaDiemKham'!$B$2)+1/ISNUMBER(SEARCH(SUBSTITUTE(UPPER($C484)," ",""),'DM_DiaDiemKham'!$C$2:$C$6)),1)),"Không tìm thấy"))</f>
        <v/>
      </c>
      <c r="G484" s="5">
        <f>IF($D484="","",IFERROR(INDEX('DM_HinhThucChiTra'!$B$2:$B$5,AGGREGATE(15,6,ROW('DM_HinhThucChiTra'!$B$2:$B$5)-ROW('DM_HinhThucChiTra'!$B$2)+1/ISNUMBER(SEARCH(SUBSTITUTE(UPPER($D484)," ",""),'DM_HinhThucChiTra'!$C$2:$C$5)),1)),"Không tìm thấy"))</f>
        <v/>
      </c>
      <c r="I484" s="5">
        <f>IF($E484="","",IFERROR(INDEX('DM_HinhThucKham'!$B$2:$B$3,AGGREGATE(15,6,ROW('DM_HinhThucKham'!$B$2:$B$3)-ROW('DM_HinhThucKham'!$B$2)+1/ISNUMBER(SEARCH(SUBSTITUTE(UPPER($E484)," ",""),'DM_HinhThucKham'!$C$2:$C$3)),1)),"Không tìm thấy"))</f>
        <v/>
      </c>
      <c r="P484" s="5">
        <f>IF($K484="","",IFERROR(INDEX('DM_DanToc'!$B$2:$B$78,AGGREGATE(15,6,ROW('DM_DanToc'!$B$2:$B$78)-ROW('DM_DanToc'!$B$2)+1/ISNUMBER(SEARCH(SUBSTITUTE(UPPER($K484)," ",""),'DM_DanToc'!$C$2:$C$78)),1)),"Không tìm thấy"))</f>
        <v/>
      </c>
      <c r="W484" s="5">
        <f>IF($Q484="","",IFERROR(INDEX('DM_TinhThanh'!$B$2:$B$35,AGGREGATE(15,6,ROW('DM_TinhThanh'!$B$2:$B$35)-ROW('DM_TinhThanh'!$B$2)+1/ISNUMBER(SEARCH(SUBSTITUTE(UPPER($Q484)," ",""),'DM_TinhThanh'!$C$2:$C$35)),1)),"Không tìm thấy"))</f>
        <v/>
      </c>
      <c r="Y484" s="5">
        <f>IF($R484="","",IFERROR(INDEX('DM_XaPhuong'!$B$2:$B$169,AGGREGATE(15,6,ROW('DM_XaPhuong'!$B$2:$B$169)-ROW('DM_XaPhuong'!$B$2)+1/ISNUMBER(SEARCH(SUBSTITUTE(UPPER($R484)," ",""),'DM_XaPhuong'!$C$2:$C$169)),1)),"Không tìm thấy"))</f>
        <v/>
      </c>
      <c r="AB484" s="5">
        <f>IF($T484="","",IFERROR(INDEX('DM_NgheNghiep'!$B$2:$B$11,AGGREGATE(15,6,ROW('DM_NgheNghiep'!$B$2:$B$11)-ROW('DM_NgheNghiep'!$B$2)+1/ISNUMBER(SEARCH(SUBSTITUTE(UPPER($T484)," ",""),'DM_NgheNghiep'!$C$2:$C$11)),1)),"Không tìm thấy"))</f>
        <v/>
      </c>
      <c r="AD484" s="5">
        <f>IF($U484="","",IFERROR(INDEX('DM_NoiCongTac'!$B$2:$B$11,AGGREGATE(15,6,ROW('DM_NoiCongTac'!$B$2:$B$11)-ROW('DM_NoiCongTac'!$B$2)+1/ISNUMBER(SEARCH(SUBSTITUTE(UPPER($U484)," ",""),'DM_NoiCongTac'!$C$2:$C$11)),1)),"Không tìm thấy"))</f>
        <v/>
      </c>
      <c r="AF484" s="5">
        <f>IF($V484="","",IFERROR(INDEX('DM_XaPhuong'!$B$2:$B$169,AGGREGATE(15,6,ROW('DM_XaPhuong'!$B$2:$B$169)-ROW('DM_XaPhuong'!$B$2)+1/ISNUMBER(SEARCH(SUBSTITUTE(UPPER($V484)," ",""),'DM_XaPhuong'!$C$2:$C$169)),1)),"Không tìm thấy"))</f>
        <v/>
      </c>
    </row>
    <row r="485">
      <c r="C485" s="5">
        <f>IF($B485="","",IFERROR(INDEX('DM_DoiTuong'!$B$2:$B$19,AGGREGATE(15,6,ROW('DM_DoiTuong'!$B$2:$B$19)-ROW('DM_DoiTuong'!$B$2)+1/ISNUMBER(SEARCH(SUBSTITUTE(UPPER($B485)," ",""),'DM_DoiTuong'!$C$2:$C$19)),1)),"Không tìm thấy"))</f>
        <v/>
      </c>
      <c r="E485" s="5">
        <f>IF($C485="","",IFERROR(INDEX('DM_DiaDiemKham'!$B$2:$B$6,AGGREGATE(15,6,ROW('DM_DiaDiemKham'!$B$2:$B$6)-ROW('DM_DiaDiemKham'!$B$2)+1/ISNUMBER(SEARCH(SUBSTITUTE(UPPER($C485)," ",""),'DM_DiaDiemKham'!$C$2:$C$6)),1)),"Không tìm thấy"))</f>
        <v/>
      </c>
      <c r="G485" s="5">
        <f>IF($D485="","",IFERROR(INDEX('DM_HinhThucChiTra'!$B$2:$B$5,AGGREGATE(15,6,ROW('DM_HinhThucChiTra'!$B$2:$B$5)-ROW('DM_HinhThucChiTra'!$B$2)+1/ISNUMBER(SEARCH(SUBSTITUTE(UPPER($D485)," ",""),'DM_HinhThucChiTra'!$C$2:$C$5)),1)),"Không tìm thấy"))</f>
        <v/>
      </c>
      <c r="I485" s="5">
        <f>IF($E485="","",IFERROR(INDEX('DM_HinhThucKham'!$B$2:$B$3,AGGREGATE(15,6,ROW('DM_HinhThucKham'!$B$2:$B$3)-ROW('DM_HinhThucKham'!$B$2)+1/ISNUMBER(SEARCH(SUBSTITUTE(UPPER($E485)," ",""),'DM_HinhThucKham'!$C$2:$C$3)),1)),"Không tìm thấy"))</f>
        <v/>
      </c>
      <c r="P485" s="5">
        <f>IF($K485="","",IFERROR(INDEX('DM_DanToc'!$B$2:$B$78,AGGREGATE(15,6,ROW('DM_DanToc'!$B$2:$B$78)-ROW('DM_DanToc'!$B$2)+1/ISNUMBER(SEARCH(SUBSTITUTE(UPPER($K485)," ",""),'DM_DanToc'!$C$2:$C$78)),1)),"Không tìm thấy"))</f>
        <v/>
      </c>
      <c r="W485" s="5">
        <f>IF($Q485="","",IFERROR(INDEX('DM_TinhThanh'!$B$2:$B$35,AGGREGATE(15,6,ROW('DM_TinhThanh'!$B$2:$B$35)-ROW('DM_TinhThanh'!$B$2)+1/ISNUMBER(SEARCH(SUBSTITUTE(UPPER($Q485)," ",""),'DM_TinhThanh'!$C$2:$C$35)),1)),"Không tìm thấy"))</f>
        <v/>
      </c>
      <c r="Y485" s="5">
        <f>IF($R485="","",IFERROR(INDEX('DM_XaPhuong'!$B$2:$B$169,AGGREGATE(15,6,ROW('DM_XaPhuong'!$B$2:$B$169)-ROW('DM_XaPhuong'!$B$2)+1/ISNUMBER(SEARCH(SUBSTITUTE(UPPER($R485)," ",""),'DM_XaPhuong'!$C$2:$C$169)),1)),"Không tìm thấy"))</f>
        <v/>
      </c>
      <c r="AB485" s="5">
        <f>IF($T485="","",IFERROR(INDEX('DM_NgheNghiep'!$B$2:$B$11,AGGREGATE(15,6,ROW('DM_NgheNghiep'!$B$2:$B$11)-ROW('DM_NgheNghiep'!$B$2)+1/ISNUMBER(SEARCH(SUBSTITUTE(UPPER($T485)," ",""),'DM_NgheNghiep'!$C$2:$C$11)),1)),"Không tìm thấy"))</f>
        <v/>
      </c>
      <c r="AD485" s="5">
        <f>IF($U485="","",IFERROR(INDEX('DM_NoiCongTac'!$B$2:$B$11,AGGREGATE(15,6,ROW('DM_NoiCongTac'!$B$2:$B$11)-ROW('DM_NoiCongTac'!$B$2)+1/ISNUMBER(SEARCH(SUBSTITUTE(UPPER($U485)," ",""),'DM_NoiCongTac'!$C$2:$C$11)),1)),"Không tìm thấy"))</f>
        <v/>
      </c>
      <c r="AF485" s="5">
        <f>IF($V485="","",IFERROR(INDEX('DM_XaPhuong'!$B$2:$B$169,AGGREGATE(15,6,ROW('DM_XaPhuong'!$B$2:$B$169)-ROW('DM_XaPhuong'!$B$2)+1/ISNUMBER(SEARCH(SUBSTITUTE(UPPER($V485)," ",""),'DM_XaPhuong'!$C$2:$C$169)),1)),"Không tìm thấy"))</f>
        <v/>
      </c>
    </row>
    <row r="486">
      <c r="C486" s="5">
        <f>IF($B486="","",IFERROR(INDEX('DM_DoiTuong'!$B$2:$B$19,AGGREGATE(15,6,ROW('DM_DoiTuong'!$B$2:$B$19)-ROW('DM_DoiTuong'!$B$2)+1/ISNUMBER(SEARCH(SUBSTITUTE(UPPER($B486)," ",""),'DM_DoiTuong'!$C$2:$C$19)),1)),"Không tìm thấy"))</f>
        <v/>
      </c>
      <c r="E486" s="5">
        <f>IF($C486="","",IFERROR(INDEX('DM_DiaDiemKham'!$B$2:$B$6,AGGREGATE(15,6,ROW('DM_DiaDiemKham'!$B$2:$B$6)-ROW('DM_DiaDiemKham'!$B$2)+1/ISNUMBER(SEARCH(SUBSTITUTE(UPPER($C486)," ",""),'DM_DiaDiemKham'!$C$2:$C$6)),1)),"Không tìm thấy"))</f>
        <v/>
      </c>
      <c r="G486" s="5">
        <f>IF($D486="","",IFERROR(INDEX('DM_HinhThucChiTra'!$B$2:$B$5,AGGREGATE(15,6,ROW('DM_HinhThucChiTra'!$B$2:$B$5)-ROW('DM_HinhThucChiTra'!$B$2)+1/ISNUMBER(SEARCH(SUBSTITUTE(UPPER($D486)," ",""),'DM_HinhThucChiTra'!$C$2:$C$5)),1)),"Không tìm thấy"))</f>
        <v/>
      </c>
      <c r="I486" s="5">
        <f>IF($E486="","",IFERROR(INDEX('DM_HinhThucKham'!$B$2:$B$3,AGGREGATE(15,6,ROW('DM_HinhThucKham'!$B$2:$B$3)-ROW('DM_HinhThucKham'!$B$2)+1/ISNUMBER(SEARCH(SUBSTITUTE(UPPER($E486)," ",""),'DM_HinhThucKham'!$C$2:$C$3)),1)),"Không tìm thấy"))</f>
        <v/>
      </c>
      <c r="P486" s="5">
        <f>IF($K486="","",IFERROR(INDEX('DM_DanToc'!$B$2:$B$78,AGGREGATE(15,6,ROW('DM_DanToc'!$B$2:$B$78)-ROW('DM_DanToc'!$B$2)+1/ISNUMBER(SEARCH(SUBSTITUTE(UPPER($K486)," ",""),'DM_DanToc'!$C$2:$C$78)),1)),"Không tìm thấy"))</f>
        <v/>
      </c>
      <c r="W486" s="5">
        <f>IF($Q486="","",IFERROR(INDEX('DM_TinhThanh'!$B$2:$B$35,AGGREGATE(15,6,ROW('DM_TinhThanh'!$B$2:$B$35)-ROW('DM_TinhThanh'!$B$2)+1/ISNUMBER(SEARCH(SUBSTITUTE(UPPER($Q486)," ",""),'DM_TinhThanh'!$C$2:$C$35)),1)),"Không tìm thấy"))</f>
        <v/>
      </c>
      <c r="Y486" s="5">
        <f>IF($R486="","",IFERROR(INDEX('DM_XaPhuong'!$B$2:$B$169,AGGREGATE(15,6,ROW('DM_XaPhuong'!$B$2:$B$169)-ROW('DM_XaPhuong'!$B$2)+1/ISNUMBER(SEARCH(SUBSTITUTE(UPPER($R486)," ",""),'DM_XaPhuong'!$C$2:$C$169)),1)),"Không tìm thấy"))</f>
        <v/>
      </c>
      <c r="AB486" s="5">
        <f>IF($T486="","",IFERROR(INDEX('DM_NgheNghiep'!$B$2:$B$11,AGGREGATE(15,6,ROW('DM_NgheNghiep'!$B$2:$B$11)-ROW('DM_NgheNghiep'!$B$2)+1/ISNUMBER(SEARCH(SUBSTITUTE(UPPER($T486)," ",""),'DM_NgheNghiep'!$C$2:$C$11)),1)),"Không tìm thấy"))</f>
        <v/>
      </c>
      <c r="AD486" s="5">
        <f>IF($U486="","",IFERROR(INDEX('DM_NoiCongTac'!$B$2:$B$11,AGGREGATE(15,6,ROW('DM_NoiCongTac'!$B$2:$B$11)-ROW('DM_NoiCongTac'!$B$2)+1/ISNUMBER(SEARCH(SUBSTITUTE(UPPER($U486)," ",""),'DM_NoiCongTac'!$C$2:$C$11)),1)),"Không tìm thấy"))</f>
        <v/>
      </c>
      <c r="AF486" s="5">
        <f>IF($V486="","",IFERROR(INDEX('DM_XaPhuong'!$B$2:$B$169,AGGREGATE(15,6,ROW('DM_XaPhuong'!$B$2:$B$169)-ROW('DM_XaPhuong'!$B$2)+1/ISNUMBER(SEARCH(SUBSTITUTE(UPPER($V486)," ",""),'DM_XaPhuong'!$C$2:$C$169)),1)),"Không tìm thấy"))</f>
        <v/>
      </c>
    </row>
    <row r="487">
      <c r="C487" s="5">
        <f>IF($B487="","",IFERROR(INDEX('DM_DoiTuong'!$B$2:$B$19,AGGREGATE(15,6,ROW('DM_DoiTuong'!$B$2:$B$19)-ROW('DM_DoiTuong'!$B$2)+1/ISNUMBER(SEARCH(SUBSTITUTE(UPPER($B487)," ",""),'DM_DoiTuong'!$C$2:$C$19)),1)),"Không tìm thấy"))</f>
        <v/>
      </c>
      <c r="E487" s="5">
        <f>IF($C487="","",IFERROR(INDEX('DM_DiaDiemKham'!$B$2:$B$6,AGGREGATE(15,6,ROW('DM_DiaDiemKham'!$B$2:$B$6)-ROW('DM_DiaDiemKham'!$B$2)+1/ISNUMBER(SEARCH(SUBSTITUTE(UPPER($C487)," ",""),'DM_DiaDiemKham'!$C$2:$C$6)),1)),"Không tìm thấy"))</f>
        <v/>
      </c>
      <c r="G487" s="5">
        <f>IF($D487="","",IFERROR(INDEX('DM_HinhThucChiTra'!$B$2:$B$5,AGGREGATE(15,6,ROW('DM_HinhThucChiTra'!$B$2:$B$5)-ROW('DM_HinhThucChiTra'!$B$2)+1/ISNUMBER(SEARCH(SUBSTITUTE(UPPER($D487)," ",""),'DM_HinhThucChiTra'!$C$2:$C$5)),1)),"Không tìm thấy"))</f>
        <v/>
      </c>
      <c r="I487" s="5">
        <f>IF($E487="","",IFERROR(INDEX('DM_HinhThucKham'!$B$2:$B$3,AGGREGATE(15,6,ROW('DM_HinhThucKham'!$B$2:$B$3)-ROW('DM_HinhThucKham'!$B$2)+1/ISNUMBER(SEARCH(SUBSTITUTE(UPPER($E487)," ",""),'DM_HinhThucKham'!$C$2:$C$3)),1)),"Không tìm thấy"))</f>
        <v/>
      </c>
      <c r="P487" s="5">
        <f>IF($K487="","",IFERROR(INDEX('DM_DanToc'!$B$2:$B$78,AGGREGATE(15,6,ROW('DM_DanToc'!$B$2:$B$78)-ROW('DM_DanToc'!$B$2)+1/ISNUMBER(SEARCH(SUBSTITUTE(UPPER($K487)," ",""),'DM_DanToc'!$C$2:$C$78)),1)),"Không tìm thấy"))</f>
        <v/>
      </c>
      <c r="W487" s="5">
        <f>IF($Q487="","",IFERROR(INDEX('DM_TinhThanh'!$B$2:$B$35,AGGREGATE(15,6,ROW('DM_TinhThanh'!$B$2:$B$35)-ROW('DM_TinhThanh'!$B$2)+1/ISNUMBER(SEARCH(SUBSTITUTE(UPPER($Q487)," ",""),'DM_TinhThanh'!$C$2:$C$35)),1)),"Không tìm thấy"))</f>
        <v/>
      </c>
      <c r="Y487" s="5">
        <f>IF($R487="","",IFERROR(INDEX('DM_XaPhuong'!$B$2:$B$169,AGGREGATE(15,6,ROW('DM_XaPhuong'!$B$2:$B$169)-ROW('DM_XaPhuong'!$B$2)+1/ISNUMBER(SEARCH(SUBSTITUTE(UPPER($R487)," ",""),'DM_XaPhuong'!$C$2:$C$169)),1)),"Không tìm thấy"))</f>
        <v/>
      </c>
      <c r="AB487" s="5">
        <f>IF($T487="","",IFERROR(INDEX('DM_NgheNghiep'!$B$2:$B$11,AGGREGATE(15,6,ROW('DM_NgheNghiep'!$B$2:$B$11)-ROW('DM_NgheNghiep'!$B$2)+1/ISNUMBER(SEARCH(SUBSTITUTE(UPPER($T487)," ",""),'DM_NgheNghiep'!$C$2:$C$11)),1)),"Không tìm thấy"))</f>
        <v/>
      </c>
      <c r="AD487" s="5">
        <f>IF($U487="","",IFERROR(INDEX('DM_NoiCongTac'!$B$2:$B$11,AGGREGATE(15,6,ROW('DM_NoiCongTac'!$B$2:$B$11)-ROW('DM_NoiCongTac'!$B$2)+1/ISNUMBER(SEARCH(SUBSTITUTE(UPPER($U487)," ",""),'DM_NoiCongTac'!$C$2:$C$11)),1)),"Không tìm thấy"))</f>
        <v/>
      </c>
      <c r="AF487" s="5">
        <f>IF($V487="","",IFERROR(INDEX('DM_XaPhuong'!$B$2:$B$169,AGGREGATE(15,6,ROW('DM_XaPhuong'!$B$2:$B$169)-ROW('DM_XaPhuong'!$B$2)+1/ISNUMBER(SEARCH(SUBSTITUTE(UPPER($V487)," ",""),'DM_XaPhuong'!$C$2:$C$169)),1)),"Không tìm thấy"))</f>
        <v/>
      </c>
    </row>
    <row r="488">
      <c r="C488" s="5">
        <f>IF($B488="","",IFERROR(INDEX('DM_DoiTuong'!$B$2:$B$19,AGGREGATE(15,6,ROW('DM_DoiTuong'!$B$2:$B$19)-ROW('DM_DoiTuong'!$B$2)+1/ISNUMBER(SEARCH(SUBSTITUTE(UPPER($B488)," ",""),'DM_DoiTuong'!$C$2:$C$19)),1)),"Không tìm thấy"))</f>
        <v/>
      </c>
      <c r="E488" s="5">
        <f>IF($C488="","",IFERROR(INDEX('DM_DiaDiemKham'!$B$2:$B$6,AGGREGATE(15,6,ROW('DM_DiaDiemKham'!$B$2:$B$6)-ROW('DM_DiaDiemKham'!$B$2)+1/ISNUMBER(SEARCH(SUBSTITUTE(UPPER($C488)," ",""),'DM_DiaDiemKham'!$C$2:$C$6)),1)),"Không tìm thấy"))</f>
        <v/>
      </c>
      <c r="G488" s="5">
        <f>IF($D488="","",IFERROR(INDEX('DM_HinhThucChiTra'!$B$2:$B$5,AGGREGATE(15,6,ROW('DM_HinhThucChiTra'!$B$2:$B$5)-ROW('DM_HinhThucChiTra'!$B$2)+1/ISNUMBER(SEARCH(SUBSTITUTE(UPPER($D488)," ",""),'DM_HinhThucChiTra'!$C$2:$C$5)),1)),"Không tìm thấy"))</f>
        <v/>
      </c>
      <c r="I488" s="5">
        <f>IF($E488="","",IFERROR(INDEX('DM_HinhThucKham'!$B$2:$B$3,AGGREGATE(15,6,ROW('DM_HinhThucKham'!$B$2:$B$3)-ROW('DM_HinhThucKham'!$B$2)+1/ISNUMBER(SEARCH(SUBSTITUTE(UPPER($E488)," ",""),'DM_HinhThucKham'!$C$2:$C$3)),1)),"Không tìm thấy"))</f>
        <v/>
      </c>
      <c r="P488" s="5">
        <f>IF($K488="","",IFERROR(INDEX('DM_DanToc'!$B$2:$B$78,AGGREGATE(15,6,ROW('DM_DanToc'!$B$2:$B$78)-ROW('DM_DanToc'!$B$2)+1/ISNUMBER(SEARCH(SUBSTITUTE(UPPER($K488)," ",""),'DM_DanToc'!$C$2:$C$78)),1)),"Không tìm thấy"))</f>
        <v/>
      </c>
      <c r="W488" s="5">
        <f>IF($Q488="","",IFERROR(INDEX('DM_TinhThanh'!$B$2:$B$35,AGGREGATE(15,6,ROW('DM_TinhThanh'!$B$2:$B$35)-ROW('DM_TinhThanh'!$B$2)+1/ISNUMBER(SEARCH(SUBSTITUTE(UPPER($Q488)," ",""),'DM_TinhThanh'!$C$2:$C$35)),1)),"Không tìm thấy"))</f>
        <v/>
      </c>
      <c r="Y488" s="5">
        <f>IF($R488="","",IFERROR(INDEX('DM_XaPhuong'!$B$2:$B$169,AGGREGATE(15,6,ROW('DM_XaPhuong'!$B$2:$B$169)-ROW('DM_XaPhuong'!$B$2)+1/ISNUMBER(SEARCH(SUBSTITUTE(UPPER($R488)," ",""),'DM_XaPhuong'!$C$2:$C$169)),1)),"Không tìm thấy"))</f>
        <v/>
      </c>
      <c r="AB488" s="5">
        <f>IF($T488="","",IFERROR(INDEX('DM_NgheNghiep'!$B$2:$B$11,AGGREGATE(15,6,ROW('DM_NgheNghiep'!$B$2:$B$11)-ROW('DM_NgheNghiep'!$B$2)+1/ISNUMBER(SEARCH(SUBSTITUTE(UPPER($T488)," ",""),'DM_NgheNghiep'!$C$2:$C$11)),1)),"Không tìm thấy"))</f>
        <v/>
      </c>
      <c r="AD488" s="5">
        <f>IF($U488="","",IFERROR(INDEX('DM_NoiCongTac'!$B$2:$B$11,AGGREGATE(15,6,ROW('DM_NoiCongTac'!$B$2:$B$11)-ROW('DM_NoiCongTac'!$B$2)+1/ISNUMBER(SEARCH(SUBSTITUTE(UPPER($U488)," ",""),'DM_NoiCongTac'!$C$2:$C$11)),1)),"Không tìm thấy"))</f>
        <v/>
      </c>
      <c r="AF488" s="5">
        <f>IF($V488="","",IFERROR(INDEX('DM_XaPhuong'!$B$2:$B$169,AGGREGATE(15,6,ROW('DM_XaPhuong'!$B$2:$B$169)-ROW('DM_XaPhuong'!$B$2)+1/ISNUMBER(SEARCH(SUBSTITUTE(UPPER($V488)," ",""),'DM_XaPhuong'!$C$2:$C$169)),1)),"Không tìm thấy"))</f>
        <v/>
      </c>
    </row>
    <row r="489">
      <c r="C489" s="5">
        <f>IF($B489="","",IFERROR(INDEX('DM_DoiTuong'!$B$2:$B$19,AGGREGATE(15,6,ROW('DM_DoiTuong'!$B$2:$B$19)-ROW('DM_DoiTuong'!$B$2)+1/ISNUMBER(SEARCH(SUBSTITUTE(UPPER($B489)," ",""),'DM_DoiTuong'!$C$2:$C$19)),1)),"Không tìm thấy"))</f>
        <v/>
      </c>
      <c r="E489" s="5">
        <f>IF($C489="","",IFERROR(INDEX('DM_DiaDiemKham'!$B$2:$B$6,AGGREGATE(15,6,ROW('DM_DiaDiemKham'!$B$2:$B$6)-ROW('DM_DiaDiemKham'!$B$2)+1/ISNUMBER(SEARCH(SUBSTITUTE(UPPER($C489)," ",""),'DM_DiaDiemKham'!$C$2:$C$6)),1)),"Không tìm thấy"))</f>
        <v/>
      </c>
      <c r="G489" s="5">
        <f>IF($D489="","",IFERROR(INDEX('DM_HinhThucChiTra'!$B$2:$B$5,AGGREGATE(15,6,ROW('DM_HinhThucChiTra'!$B$2:$B$5)-ROW('DM_HinhThucChiTra'!$B$2)+1/ISNUMBER(SEARCH(SUBSTITUTE(UPPER($D489)," ",""),'DM_HinhThucChiTra'!$C$2:$C$5)),1)),"Không tìm thấy"))</f>
        <v/>
      </c>
      <c r="I489" s="5">
        <f>IF($E489="","",IFERROR(INDEX('DM_HinhThucKham'!$B$2:$B$3,AGGREGATE(15,6,ROW('DM_HinhThucKham'!$B$2:$B$3)-ROW('DM_HinhThucKham'!$B$2)+1/ISNUMBER(SEARCH(SUBSTITUTE(UPPER($E489)," ",""),'DM_HinhThucKham'!$C$2:$C$3)),1)),"Không tìm thấy"))</f>
        <v/>
      </c>
      <c r="P489" s="5">
        <f>IF($K489="","",IFERROR(INDEX('DM_DanToc'!$B$2:$B$78,AGGREGATE(15,6,ROW('DM_DanToc'!$B$2:$B$78)-ROW('DM_DanToc'!$B$2)+1/ISNUMBER(SEARCH(SUBSTITUTE(UPPER($K489)," ",""),'DM_DanToc'!$C$2:$C$78)),1)),"Không tìm thấy"))</f>
        <v/>
      </c>
      <c r="W489" s="5">
        <f>IF($Q489="","",IFERROR(INDEX('DM_TinhThanh'!$B$2:$B$35,AGGREGATE(15,6,ROW('DM_TinhThanh'!$B$2:$B$35)-ROW('DM_TinhThanh'!$B$2)+1/ISNUMBER(SEARCH(SUBSTITUTE(UPPER($Q489)," ",""),'DM_TinhThanh'!$C$2:$C$35)),1)),"Không tìm thấy"))</f>
        <v/>
      </c>
      <c r="Y489" s="5">
        <f>IF($R489="","",IFERROR(INDEX('DM_XaPhuong'!$B$2:$B$169,AGGREGATE(15,6,ROW('DM_XaPhuong'!$B$2:$B$169)-ROW('DM_XaPhuong'!$B$2)+1/ISNUMBER(SEARCH(SUBSTITUTE(UPPER($R489)," ",""),'DM_XaPhuong'!$C$2:$C$169)),1)),"Không tìm thấy"))</f>
        <v/>
      </c>
      <c r="AB489" s="5">
        <f>IF($T489="","",IFERROR(INDEX('DM_NgheNghiep'!$B$2:$B$11,AGGREGATE(15,6,ROW('DM_NgheNghiep'!$B$2:$B$11)-ROW('DM_NgheNghiep'!$B$2)+1/ISNUMBER(SEARCH(SUBSTITUTE(UPPER($T489)," ",""),'DM_NgheNghiep'!$C$2:$C$11)),1)),"Không tìm thấy"))</f>
        <v/>
      </c>
      <c r="AD489" s="5">
        <f>IF($U489="","",IFERROR(INDEX('DM_NoiCongTac'!$B$2:$B$11,AGGREGATE(15,6,ROW('DM_NoiCongTac'!$B$2:$B$11)-ROW('DM_NoiCongTac'!$B$2)+1/ISNUMBER(SEARCH(SUBSTITUTE(UPPER($U489)," ",""),'DM_NoiCongTac'!$C$2:$C$11)),1)),"Không tìm thấy"))</f>
        <v/>
      </c>
      <c r="AF489" s="5">
        <f>IF($V489="","",IFERROR(INDEX('DM_XaPhuong'!$B$2:$B$169,AGGREGATE(15,6,ROW('DM_XaPhuong'!$B$2:$B$169)-ROW('DM_XaPhuong'!$B$2)+1/ISNUMBER(SEARCH(SUBSTITUTE(UPPER($V489)," ",""),'DM_XaPhuong'!$C$2:$C$169)),1)),"Không tìm thấy"))</f>
        <v/>
      </c>
    </row>
    <row r="490">
      <c r="C490" s="5">
        <f>IF($B490="","",IFERROR(INDEX('DM_DoiTuong'!$B$2:$B$19,AGGREGATE(15,6,ROW('DM_DoiTuong'!$B$2:$B$19)-ROW('DM_DoiTuong'!$B$2)+1/ISNUMBER(SEARCH(SUBSTITUTE(UPPER($B490)," ",""),'DM_DoiTuong'!$C$2:$C$19)),1)),"Không tìm thấy"))</f>
        <v/>
      </c>
      <c r="E490" s="5">
        <f>IF($C490="","",IFERROR(INDEX('DM_DiaDiemKham'!$B$2:$B$6,AGGREGATE(15,6,ROW('DM_DiaDiemKham'!$B$2:$B$6)-ROW('DM_DiaDiemKham'!$B$2)+1/ISNUMBER(SEARCH(SUBSTITUTE(UPPER($C490)," ",""),'DM_DiaDiemKham'!$C$2:$C$6)),1)),"Không tìm thấy"))</f>
        <v/>
      </c>
      <c r="G490" s="5">
        <f>IF($D490="","",IFERROR(INDEX('DM_HinhThucChiTra'!$B$2:$B$5,AGGREGATE(15,6,ROW('DM_HinhThucChiTra'!$B$2:$B$5)-ROW('DM_HinhThucChiTra'!$B$2)+1/ISNUMBER(SEARCH(SUBSTITUTE(UPPER($D490)," ",""),'DM_HinhThucChiTra'!$C$2:$C$5)),1)),"Không tìm thấy"))</f>
        <v/>
      </c>
      <c r="I490" s="5">
        <f>IF($E490="","",IFERROR(INDEX('DM_HinhThucKham'!$B$2:$B$3,AGGREGATE(15,6,ROW('DM_HinhThucKham'!$B$2:$B$3)-ROW('DM_HinhThucKham'!$B$2)+1/ISNUMBER(SEARCH(SUBSTITUTE(UPPER($E490)," ",""),'DM_HinhThucKham'!$C$2:$C$3)),1)),"Không tìm thấy"))</f>
        <v/>
      </c>
      <c r="P490" s="5">
        <f>IF($K490="","",IFERROR(INDEX('DM_DanToc'!$B$2:$B$78,AGGREGATE(15,6,ROW('DM_DanToc'!$B$2:$B$78)-ROW('DM_DanToc'!$B$2)+1/ISNUMBER(SEARCH(SUBSTITUTE(UPPER($K490)," ",""),'DM_DanToc'!$C$2:$C$78)),1)),"Không tìm thấy"))</f>
        <v/>
      </c>
      <c r="W490" s="5">
        <f>IF($Q490="","",IFERROR(INDEX('DM_TinhThanh'!$B$2:$B$35,AGGREGATE(15,6,ROW('DM_TinhThanh'!$B$2:$B$35)-ROW('DM_TinhThanh'!$B$2)+1/ISNUMBER(SEARCH(SUBSTITUTE(UPPER($Q490)," ",""),'DM_TinhThanh'!$C$2:$C$35)),1)),"Không tìm thấy"))</f>
        <v/>
      </c>
      <c r="Y490" s="5">
        <f>IF($R490="","",IFERROR(INDEX('DM_XaPhuong'!$B$2:$B$169,AGGREGATE(15,6,ROW('DM_XaPhuong'!$B$2:$B$169)-ROW('DM_XaPhuong'!$B$2)+1/ISNUMBER(SEARCH(SUBSTITUTE(UPPER($R490)," ",""),'DM_XaPhuong'!$C$2:$C$169)),1)),"Không tìm thấy"))</f>
        <v/>
      </c>
      <c r="AB490" s="5">
        <f>IF($T490="","",IFERROR(INDEX('DM_NgheNghiep'!$B$2:$B$11,AGGREGATE(15,6,ROW('DM_NgheNghiep'!$B$2:$B$11)-ROW('DM_NgheNghiep'!$B$2)+1/ISNUMBER(SEARCH(SUBSTITUTE(UPPER($T490)," ",""),'DM_NgheNghiep'!$C$2:$C$11)),1)),"Không tìm thấy"))</f>
        <v/>
      </c>
      <c r="AD490" s="5">
        <f>IF($U490="","",IFERROR(INDEX('DM_NoiCongTac'!$B$2:$B$11,AGGREGATE(15,6,ROW('DM_NoiCongTac'!$B$2:$B$11)-ROW('DM_NoiCongTac'!$B$2)+1/ISNUMBER(SEARCH(SUBSTITUTE(UPPER($U490)," ",""),'DM_NoiCongTac'!$C$2:$C$11)),1)),"Không tìm thấy"))</f>
        <v/>
      </c>
      <c r="AF490" s="5">
        <f>IF($V490="","",IFERROR(INDEX('DM_XaPhuong'!$B$2:$B$169,AGGREGATE(15,6,ROW('DM_XaPhuong'!$B$2:$B$169)-ROW('DM_XaPhuong'!$B$2)+1/ISNUMBER(SEARCH(SUBSTITUTE(UPPER($V490)," ",""),'DM_XaPhuong'!$C$2:$C$169)),1)),"Không tìm thấy"))</f>
        <v/>
      </c>
    </row>
    <row r="491">
      <c r="C491" s="5">
        <f>IF($B491="","",IFERROR(INDEX('DM_DoiTuong'!$B$2:$B$19,AGGREGATE(15,6,ROW('DM_DoiTuong'!$B$2:$B$19)-ROW('DM_DoiTuong'!$B$2)+1/ISNUMBER(SEARCH(SUBSTITUTE(UPPER($B491)," ",""),'DM_DoiTuong'!$C$2:$C$19)),1)),"Không tìm thấy"))</f>
        <v/>
      </c>
      <c r="E491" s="5">
        <f>IF($C491="","",IFERROR(INDEX('DM_DiaDiemKham'!$B$2:$B$6,AGGREGATE(15,6,ROW('DM_DiaDiemKham'!$B$2:$B$6)-ROW('DM_DiaDiemKham'!$B$2)+1/ISNUMBER(SEARCH(SUBSTITUTE(UPPER($C491)," ",""),'DM_DiaDiemKham'!$C$2:$C$6)),1)),"Không tìm thấy"))</f>
        <v/>
      </c>
      <c r="G491" s="5">
        <f>IF($D491="","",IFERROR(INDEX('DM_HinhThucChiTra'!$B$2:$B$5,AGGREGATE(15,6,ROW('DM_HinhThucChiTra'!$B$2:$B$5)-ROW('DM_HinhThucChiTra'!$B$2)+1/ISNUMBER(SEARCH(SUBSTITUTE(UPPER($D491)," ",""),'DM_HinhThucChiTra'!$C$2:$C$5)),1)),"Không tìm thấy"))</f>
        <v/>
      </c>
      <c r="I491" s="5">
        <f>IF($E491="","",IFERROR(INDEX('DM_HinhThucKham'!$B$2:$B$3,AGGREGATE(15,6,ROW('DM_HinhThucKham'!$B$2:$B$3)-ROW('DM_HinhThucKham'!$B$2)+1/ISNUMBER(SEARCH(SUBSTITUTE(UPPER($E491)," ",""),'DM_HinhThucKham'!$C$2:$C$3)),1)),"Không tìm thấy"))</f>
        <v/>
      </c>
      <c r="P491" s="5">
        <f>IF($K491="","",IFERROR(INDEX('DM_DanToc'!$B$2:$B$78,AGGREGATE(15,6,ROW('DM_DanToc'!$B$2:$B$78)-ROW('DM_DanToc'!$B$2)+1/ISNUMBER(SEARCH(SUBSTITUTE(UPPER($K491)," ",""),'DM_DanToc'!$C$2:$C$78)),1)),"Không tìm thấy"))</f>
        <v/>
      </c>
      <c r="W491" s="5">
        <f>IF($Q491="","",IFERROR(INDEX('DM_TinhThanh'!$B$2:$B$35,AGGREGATE(15,6,ROW('DM_TinhThanh'!$B$2:$B$35)-ROW('DM_TinhThanh'!$B$2)+1/ISNUMBER(SEARCH(SUBSTITUTE(UPPER($Q491)," ",""),'DM_TinhThanh'!$C$2:$C$35)),1)),"Không tìm thấy"))</f>
        <v/>
      </c>
      <c r="Y491" s="5">
        <f>IF($R491="","",IFERROR(INDEX('DM_XaPhuong'!$B$2:$B$169,AGGREGATE(15,6,ROW('DM_XaPhuong'!$B$2:$B$169)-ROW('DM_XaPhuong'!$B$2)+1/ISNUMBER(SEARCH(SUBSTITUTE(UPPER($R491)," ",""),'DM_XaPhuong'!$C$2:$C$169)),1)),"Không tìm thấy"))</f>
        <v/>
      </c>
      <c r="AB491" s="5">
        <f>IF($T491="","",IFERROR(INDEX('DM_NgheNghiep'!$B$2:$B$11,AGGREGATE(15,6,ROW('DM_NgheNghiep'!$B$2:$B$11)-ROW('DM_NgheNghiep'!$B$2)+1/ISNUMBER(SEARCH(SUBSTITUTE(UPPER($T491)," ",""),'DM_NgheNghiep'!$C$2:$C$11)),1)),"Không tìm thấy"))</f>
        <v/>
      </c>
      <c r="AD491" s="5">
        <f>IF($U491="","",IFERROR(INDEX('DM_NoiCongTac'!$B$2:$B$11,AGGREGATE(15,6,ROW('DM_NoiCongTac'!$B$2:$B$11)-ROW('DM_NoiCongTac'!$B$2)+1/ISNUMBER(SEARCH(SUBSTITUTE(UPPER($U491)," ",""),'DM_NoiCongTac'!$C$2:$C$11)),1)),"Không tìm thấy"))</f>
        <v/>
      </c>
      <c r="AF491" s="5">
        <f>IF($V491="","",IFERROR(INDEX('DM_XaPhuong'!$B$2:$B$169,AGGREGATE(15,6,ROW('DM_XaPhuong'!$B$2:$B$169)-ROW('DM_XaPhuong'!$B$2)+1/ISNUMBER(SEARCH(SUBSTITUTE(UPPER($V491)," ",""),'DM_XaPhuong'!$C$2:$C$169)),1)),"Không tìm thấy"))</f>
        <v/>
      </c>
    </row>
    <row r="492">
      <c r="C492" s="5">
        <f>IF($B492="","",IFERROR(INDEX('DM_DoiTuong'!$B$2:$B$19,AGGREGATE(15,6,ROW('DM_DoiTuong'!$B$2:$B$19)-ROW('DM_DoiTuong'!$B$2)+1/ISNUMBER(SEARCH(SUBSTITUTE(UPPER($B492)," ",""),'DM_DoiTuong'!$C$2:$C$19)),1)),"Không tìm thấy"))</f>
        <v/>
      </c>
      <c r="E492" s="5">
        <f>IF($C492="","",IFERROR(INDEX('DM_DiaDiemKham'!$B$2:$B$6,AGGREGATE(15,6,ROW('DM_DiaDiemKham'!$B$2:$B$6)-ROW('DM_DiaDiemKham'!$B$2)+1/ISNUMBER(SEARCH(SUBSTITUTE(UPPER($C492)," ",""),'DM_DiaDiemKham'!$C$2:$C$6)),1)),"Không tìm thấy"))</f>
        <v/>
      </c>
      <c r="G492" s="5">
        <f>IF($D492="","",IFERROR(INDEX('DM_HinhThucChiTra'!$B$2:$B$5,AGGREGATE(15,6,ROW('DM_HinhThucChiTra'!$B$2:$B$5)-ROW('DM_HinhThucChiTra'!$B$2)+1/ISNUMBER(SEARCH(SUBSTITUTE(UPPER($D492)," ",""),'DM_HinhThucChiTra'!$C$2:$C$5)),1)),"Không tìm thấy"))</f>
        <v/>
      </c>
      <c r="I492" s="5">
        <f>IF($E492="","",IFERROR(INDEX('DM_HinhThucKham'!$B$2:$B$3,AGGREGATE(15,6,ROW('DM_HinhThucKham'!$B$2:$B$3)-ROW('DM_HinhThucKham'!$B$2)+1/ISNUMBER(SEARCH(SUBSTITUTE(UPPER($E492)," ",""),'DM_HinhThucKham'!$C$2:$C$3)),1)),"Không tìm thấy"))</f>
        <v/>
      </c>
      <c r="P492" s="5">
        <f>IF($K492="","",IFERROR(INDEX('DM_DanToc'!$B$2:$B$78,AGGREGATE(15,6,ROW('DM_DanToc'!$B$2:$B$78)-ROW('DM_DanToc'!$B$2)+1/ISNUMBER(SEARCH(SUBSTITUTE(UPPER($K492)," ",""),'DM_DanToc'!$C$2:$C$78)),1)),"Không tìm thấy"))</f>
        <v/>
      </c>
      <c r="W492" s="5">
        <f>IF($Q492="","",IFERROR(INDEX('DM_TinhThanh'!$B$2:$B$35,AGGREGATE(15,6,ROW('DM_TinhThanh'!$B$2:$B$35)-ROW('DM_TinhThanh'!$B$2)+1/ISNUMBER(SEARCH(SUBSTITUTE(UPPER($Q492)," ",""),'DM_TinhThanh'!$C$2:$C$35)),1)),"Không tìm thấy"))</f>
        <v/>
      </c>
      <c r="Y492" s="5">
        <f>IF($R492="","",IFERROR(INDEX('DM_XaPhuong'!$B$2:$B$169,AGGREGATE(15,6,ROW('DM_XaPhuong'!$B$2:$B$169)-ROW('DM_XaPhuong'!$B$2)+1/ISNUMBER(SEARCH(SUBSTITUTE(UPPER($R492)," ",""),'DM_XaPhuong'!$C$2:$C$169)),1)),"Không tìm thấy"))</f>
        <v/>
      </c>
      <c r="AB492" s="5">
        <f>IF($T492="","",IFERROR(INDEX('DM_NgheNghiep'!$B$2:$B$11,AGGREGATE(15,6,ROW('DM_NgheNghiep'!$B$2:$B$11)-ROW('DM_NgheNghiep'!$B$2)+1/ISNUMBER(SEARCH(SUBSTITUTE(UPPER($T492)," ",""),'DM_NgheNghiep'!$C$2:$C$11)),1)),"Không tìm thấy"))</f>
        <v/>
      </c>
      <c r="AD492" s="5">
        <f>IF($U492="","",IFERROR(INDEX('DM_NoiCongTac'!$B$2:$B$11,AGGREGATE(15,6,ROW('DM_NoiCongTac'!$B$2:$B$11)-ROW('DM_NoiCongTac'!$B$2)+1/ISNUMBER(SEARCH(SUBSTITUTE(UPPER($U492)," ",""),'DM_NoiCongTac'!$C$2:$C$11)),1)),"Không tìm thấy"))</f>
        <v/>
      </c>
      <c r="AF492" s="5">
        <f>IF($V492="","",IFERROR(INDEX('DM_XaPhuong'!$B$2:$B$169,AGGREGATE(15,6,ROW('DM_XaPhuong'!$B$2:$B$169)-ROW('DM_XaPhuong'!$B$2)+1/ISNUMBER(SEARCH(SUBSTITUTE(UPPER($V492)," ",""),'DM_XaPhuong'!$C$2:$C$169)),1)),"Không tìm thấy"))</f>
        <v/>
      </c>
    </row>
    <row r="493">
      <c r="C493" s="5">
        <f>IF($B493="","",IFERROR(INDEX('DM_DoiTuong'!$B$2:$B$19,AGGREGATE(15,6,ROW('DM_DoiTuong'!$B$2:$B$19)-ROW('DM_DoiTuong'!$B$2)+1/ISNUMBER(SEARCH(SUBSTITUTE(UPPER($B493)," ",""),'DM_DoiTuong'!$C$2:$C$19)),1)),"Không tìm thấy"))</f>
        <v/>
      </c>
      <c r="E493" s="5">
        <f>IF($C493="","",IFERROR(INDEX('DM_DiaDiemKham'!$B$2:$B$6,AGGREGATE(15,6,ROW('DM_DiaDiemKham'!$B$2:$B$6)-ROW('DM_DiaDiemKham'!$B$2)+1/ISNUMBER(SEARCH(SUBSTITUTE(UPPER($C493)," ",""),'DM_DiaDiemKham'!$C$2:$C$6)),1)),"Không tìm thấy"))</f>
        <v/>
      </c>
      <c r="G493" s="5">
        <f>IF($D493="","",IFERROR(INDEX('DM_HinhThucChiTra'!$B$2:$B$5,AGGREGATE(15,6,ROW('DM_HinhThucChiTra'!$B$2:$B$5)-ROW('DM_HinhThucChiTra'!$B$2)+1/ISNUMBER(SEARCH(SUBSTITUTE(UPPER($D493)," ",""),'DM_HinhThucChiTra'!$C$2:$C$5)),1)),"Không tìm thấy"))</f>
        <v/>
      </c>
      <c r="I493" s="5">
        <f>IF($E493="","",IFERROR(INDEX('DM_HinhThucKham'!$B$2:$B$3,AGGREGATE(15,6,ROW('DM_HinhThucKham'!$B$2:$B$3)-ROW('DM_HinhThucKham'!$B$2)+1/ISNUMBER(SEARCH(SUBSTITUTE(UPPER($E493)," ",""),'DM_HinhThucKham'!$C$2:$C$3)),1)),"Không tìm thấy"))</f>
        <v/>
      </c>
      <c r="P493" s="5">
        <f>IF($K493="","",IFERROR(INDEX('DM_DanToc'!$B$2:$B$78,AGGREGATE(15,6,ROW('DM_DanToc'!$B$2:$B$78)-ROW('DM_DanToc'!$B$2)+1/ISNUMBER(SEARCH(SUBSTITUTE(UPPER($K493)," ",""),'DM_DanToc'!$C$2:$C$78)),1)),"Không tìm thấy"))</f>
        <v/>
      </c>
      <c r="W493" s="5">
        <f>IF($Q493="","",IFERROR(INDEX('DM_TinhThanh'!$B$2:$B$35,AGGREGATE(15,6,ROW('DM_TinhThanh'!$B$2:$B$35)-ROW('DM_TinhThanh'!$B$2)+1/ISNUMBER(SEARCH(SUBSTITUTE(UPPER($Q493)," ",""),'DM_TinhThanh'!$C$2:$C$35)),1)),"Không tìm thấy"))</f>
        <v/>
      </c>
      <c r="Y493" s="5">
        <f>IF($R493="","",IFERROR(INDEX('DM_XaPhuong'!$B$2:$B$169,AGGREGATE(15,6,ROW('DM_XaPhuong'!$B$2:$B$169)-ROW('DM_XaPhuong'!$B$2)+1/ISNUMBER(SEARCH(SUBSTITUTE(UPPER($R493)," ",""),'DM_XaPhuong'!$C$2:$C$169)),1)),"Không tìm thấy"))</f>
        <v/>
      </c>
      <c r="AB493" s="5">
        <f>IF($T493="","",IFERROR(INDEX('DM_NgheNghiep'!$B$2:$B$11,AGGREGATE(15,6,ROW('DM_NgheNghiep'!$B$2:$B$11)-ROW('DM_NgheNghiep'!$B$2)+1/ISNUMBER(SEARCH(SUBSTITUTE(UPPER($T493)," ",""),'DM_NgheNghiep'!$C$2:$C$11)),1)),"Không tìm thấy"))</f>
        <v/>
      </c>
      <c r="AD493" s="5">
        <f>IF($U493="","",IFERROR(INDEX('DM_NoiCongTac'!$B$2:$B$11,AGGREGATE(15,6,ROW('DM_NoiCongTac'!$B$2:$B$11)-ROW('DM_NoiCongTac'!$B$2)+1/ISNUMBER(SEARCH(SUBSTITUTE(UPPER($U493)," ",""),'DM_NoiCongTac'!$C$2:$C$11)),1)),"Không tìm thấy"))</f>
        <v/>
      </c>
      <c r="AF493" s="5">
        <f>IF($V493="","",IFERROR(INDEX('DM_XaPhuong'!$B$2:$B$169,AGGREGATE(15,6,ROW('DM_XaPhuong'!$B$2:$B$169)-ROW('DM_XaPhuong'!$B$2)+1/ISNUMBER(SEARCH(SUBSTITUTE(UPPER($V493)," ",""),'DM_XaPhuong'!$C$2:$C$169)),1)),"Không tìm thấy"))</f>
        <v/>
      </c>
    </row>
    <row r="494">
      <c r="C494" s="5">
        <f>IF($B494="","",IFERROR(INDEX('DM_DoiTuong'!$B$2:$B$19,AGGREGATE(15,6,ROW('DM_DoiTuong'!$B$2:$B$19)-ROW('DM_DoiTuong'!$B$2)+1/ISNUMBER(SEARCH(SUBSTITUTE(UPPER($B494)," ",""),'DM_DoiTuong'!$C$2:$C$19)),1)),"Không tìm thấy"))</f>
        <v/>
      </c>
      <c r="E494" s="5">
        <f>IF($C494="","",IFERROR(INDEX('DM_DiaDiemKham'!$B$2:$B$6,AGGREGATE(15,6,ROW('DM_DiaDiemKham'!$B$2:$B$6)-ROW('DM_DiaDiemKham'!$B$2)+1/ISNUMBER(SEARCH(SUBSTITUTE(UPPER($C494)," ",""),'DM_DiaDiemKham'!$C$2:$C$6)),1)),"Không tìm thấy"))</f>
        <v/>
      </c>
      <c r="G494" s="5">
        <f>IF($D494="","",IFERROR(INDEX('DM_HinhThucChiTra'!$B$2:$B$5,AGGREGATE(15,6,ROW('DM_HinhThucChiTra'!$B$2:$B$5)-ROW('DM_HinhThucChiTra'!$B$2)+1/ISNUMBER(SEARCH(SUBSTITUTE(UPPER($D494)," ",""),'DM_HinhThucChiTra'!$C$2:$C$5)),1)),"Không tìm thấy"))</f>
        <v/>
      </c>
      <c r="I494" s="5">
        <f>IF($E494="","",IFERROR(INDEX('DM_HinhThucKham'!$B$2:$B$3,AGGREGATE(15,6,ROW('DM_HinhThucKham'!$B$2:$B$3)-ROW('DM_HinhThucKham'!$B$2)+1/ISNUMBER(SEARCH(SUBSTITUTE(UPPER($E494)," ",""),'DM_HinhThucKham'!$C$2:$C$3)),1)),"Không tìm thấy"))</f>
        <v/>
      </c>
      <c r="P494" s="5">
        <f>IF($K494="","",IFERROR(INDEX('DM_DanToc'!$B$2:$B$78,AGGREGATE(15,6,ROW('DM_DanToc'!$B$2:$B$78)-ROW('DM_DanToc'!$B$2)+1/ISNUMBER(SEARCH(SUBSTITUTE(UPPER($K494)," ",""),'DM_DanToc'!$C$2:$C$78)),1)),"Không tìm thấy"))</f>
        <v/>
      </c>
      <c r="W494" s="5">
        <f>IF($Q494="","",IFERROR(INDEX('DM_TinhThanh'!$B$2:$B$35,AGGREGATE(15,6,ROW('DM_TinhThanh'!$B$2:$B$35)-ROW('DM_TinhThanh'!$B$2)+1/ISNUMBER(SEARCH(SUBSTITUTE(UPPER($Q494)," ",""),'DM_TinhThanh'!$C$2:$C$35)),1)),"Không tìm thấy"))</f>
        <v/>
      </c>
      <c r="Y494" s="5">
        <f>IF($R494="","",IFERROR(INDEX('DM_XaPhuong'!$B$2:$B$169,AGGREGATE(15,6,ROW('DM_XaPhuong'!$B$2:$B$169)-ROW('DM_XaPhuong'!$B$2)+1/ISNUMBER(SEARCH(SUBSTITUTE(UPPER($R494)," ",""),'DM_XaPhuong'!$C$2:$C$169)),1)),"Không tìm thấy"))</f>
        <v/>
      </c>
      <c r="AB494" s="5">
        <f>IF($T494="","",IFERROR(INDEX('DM_NgheNghiep'!$B$2:$B$11,AGGREGATE(15,6,ROW('DM_NgheNghiep'!$B$2:$B$11)-ROW('DM_NgheNghiep'!$B$2)+1/ISNUMBER(SEARCH(SUBSTITUTE(UPPER($T494)," ",""),'DM_NgheNghiep'!$C$2:$C$11)),1)),"Không tìm thấy"))</f>
        <v/>
      </c>
      <c r="AD494" s="5">
        <f>IF($U494="","",IFERROR(INDEX('DM_NoiCongTac'!$B$2:$B$11,AGGREGATE(15,6,ROW('DM_NoiCongTac'!$B$2:$B$11)-ROW('DM_NoiCongTac'!$B$2)+1/ISNUMBER(SEARCH(SUBSTITUTE(UPPER($U494)," ",""),'DM_NoiCongTac'!$C$2:$C$11)),1)),"Không tìm thấy"))</f>
        <v/>
      </c>
      <c r="AF494" s="5">
        <f>IF($V494="","",IFERROR(INDEX('DM_XaPhuong'!$B$2:$B$169,AGGREGATE(15,6,ROW('DM_XaPhuong'!$B$2:$B$169)-ROW('DM_XaPhuong'!$B$2)+1/ISNUMBER(SEARCH(SUBSTITUTE(UPPER($V494)," ",""),'DM_XaPhuong'!$C$2:$C$169)),1)),"Không tìm thấy"))</f>
        <v/>
      </c>
    </row>
    <row r="495">
      <c r="C495" s="5">
        <f>IF($B495="","",IFERROR(INDEX('DM_DoiTuong'!$B$2:$B$19,AGGREGATE(15,6,ROW('DM_DoiTuong'!$B$2:$B$19)-ROW('DM_DoiTuong'!$B$2)+1/ISNUMBER(SEARCH(SUBSTITUTE(UPPER($B495)," ",""),'DM_DoiTuong'!$C$2:$C$19)),1)),"Không tìm thấy"))</f>
        <v/>
      </c>
      <c r="E495" s="5">
        <f>IF($C495="","",IFERROR(INDEX('DM_DiaDiemKham'!$B$2:$B$6,AGGREGATE(15,6,ROW('DM_DiaDiemKham'!$B$2:$B$6)-ROW('DM_DiaDiemKham'!$B$2)+1/ISNUMBER(SEARCH(SUBSTITUTE(UPPER($C495)," ",""),'DM_DiaDiemKham'!$C$2:$C$6)),1)),"Không tìm thấy"))</f>
        <v/>
      </c>
      <c r="G495" s="5">
        <f>IF($D495="","",IFERROR(INDEX('DM_HinhThucChiTra'!$B$2:$B$5,AGGREGATE(15,6,ROW('DM_HinhThucChiTra'!$B$2:$B$5)-ROW('DM_HinhThucChiTra'!$B$2)+1/ISNUMBER(SEARCH(SUBSTITUTE(UPPER($D495)," ",""),'DM_HinhThucChiTra'!$C$2:$C$5)),1)),"Không tìm thấy"))</f>
        <v/>
      </c>
      <c r="I495" s="5">
        <f>IF($E495="","",IFERROR(INDEX('DM_HinhThucKham'!$B$2:$B$3,AGGREGATE(15,6,ROW('DM_HinhThucKham'!$B$2:$B$3)-ROW('DM_HinhThucKham'!$B$2)+1/ISNUMBER(SEARCH(SUBSTITUTE(UPPER($E495)," ",""),'DM_HinhThucKham'!$C$2:$C$3)),1)),"Không tìm thấy"))</f>
        <v/>
      </c>
      <c r="P495" s="5">
        <f>IF($K495="","",IFERROR(INDEX('DM_DanToc'!$B$2:$B$78,AGGREGATE(15,6,ROW('DM_DanToc'!$B$2:$B$78)-ROW('DM_DanToc'!$B$2)+1/ISNUMBER(SEARCH(SUBSTITUTE(UPPER($K495)," ",""),'DM_DanToc'!$C$2:$C$78)),1)),"Không tìm thấy"))</f>
        <v/>
      </c>
      <c r="W495" s="5">
        <f>IF($Q495="","",IFERROR(INDEX('DM_TinhThanh'!$B$2:$B$35,AGGREGATE(15,6,ROW('DM_TinhThanh'!$B$2:$B$35)-ROW('DM_TinhThanh'!$B$2)+1/ISNUMBER(SEARCH(SUBSTITUTE(UPPER($Q495)," ",""),'DM_TinhThanh'!$C$2:$C$35)),1)),"Không tìm thấy"))</f>
        <v/>
      </c>
      <c r="Y495" s="5">
        <f>IF($R495="","",IFERROR(INDEX('DM_XaPhuong'!$B$2:$B$169,AGGREGATE(15,6,ROW('DM_XaPhuong'!$B$2:$B$169)-ROW('DM_XaPhuong'!$B$2)+1/ISNUMBER(SEARCH(SUBSTITUTE(UPPER($R495)," ",""),'DM_XaPhuong'!$C$2:$C$169)),1)),"Không tìm thấy"))</f>
        <v/>
      </c>
      <c r="AB495" s="5">
        <f>IF($T495="","",IFERROR(INDEX('DM_NgheNghiep'!$B$2:$B$11,AGGREGATE(15,6,ROW('DM_NgheNghiep'!$B$2:$B$11)-ROW('DM_NgheNghiep'!$B$2)+1/ISNUMBER(SEARCH(SUBSTITUTE(UPPER($T495)," ",""),'DM_NgheNghiep'!$C$2:$C$11)),1)),"Không tìm thấy"))</f>
        <v/>
      </c>
      <c r="AD495" s="5">
        <f>IF($U495="","",IFERROR(INDEX('DM_NoiCongTac'!$B$2:$B$11,AGGREGATE(15,6,ROW('DM_NoiCongTac'!$B$2:$B$11)-ROW('DM_NoiCongTac'!$B$2)+1/ISNUMBER(SEARCH(SUBSTITUTE(UPPER($U495)," ",""),'DM_NoiCongTac'!$C$2:$C$11)),1)),"Không tìm thấy"))</f>
        <v/>
      </c>
      <c r="AF495" s="5">
        <f>IF($V495="","",IFERROR(INDEX('DM_XaPhuong'!$B$2:$B$169,AGGREGATE(15,6,ROW('DM_XaPhuong'!$B$2:$B$169)-ROW('DM_XaPhuong'!$B$2)+1/ISNUMBER(SEARCH(SUBSTITUTE(UPPER($V495)," ",""),'DM_XaPhuong'!$C$2:$C$169)),1)),"Không tìm thấy"))</f>
        <v/>
      </c>
    </row>
    <row r="496">
      <c r="C496" s="5">
        <f>IF($B496="","",IFERROR(INDEX('DM_DoiTuong'!$B$2:$B$19,AGGREGATE(15,6,ROW('DM_DoiTuong'!$B$2:$B$19)-ROW('DM_DoiTuong'!$B$2)+1/ISNUMBER(SEARCH(SUBSTITUTE(UPPER($B496)," ",""),'DM_DoiTuong'!$C$2:$C$19)),1)),"Không tìm thấy"))</f>
        <v/>
      </c>
      <c r="E496" s="5">
        <f>IF($C496="","",IFERROR(INDEX('DM_DiaDiemKham'!$B$2:$B$6,AGGREGATE(15,6,ROW('DM_DiaDiemKham'!$B$2:$B$6)-ROW('DM_DiaDiemKham'!$B$2)+1/ISNUMBER(SEARCH(SUBSTITUTE(UPPER($C496)," ",""),'DM_DiaDiemKham'!$C$2:$C$6)),1)),"Không tìm thấy"))</f>
        <v/>
      </c>
      <c r="G496" s="5">
        <f>IF($D496="","",IFERROR(INDEX('DM_HinhThucChiTra'!$B$2:$B$5,AGGREGATE(15,6,ROW('DM_HinhThucChiTra'!$B$2:$B$5)-ROW('DM_HinhThucChiTra'!$B$2)+1/ISNUMBER(SEARCH(SUBSTITUTE(UPPER($D496)," ",""),'DM_HinhThucChiTra'!$C$2:$C$5)),1)),"Không tìm thấy"))</f>
        <v/>
      </c>
      <c r="I496" s="5">
        <f>IF($E496="","",IFERROR(INDEX('DM_HinhThucKham'!$B$2:$B$3,AGGREGATE(15,6,ROW('DM_HinhThucKham'!$B$2:$B$3)-ROW('DM_HinhThucKham'!$B$2)+1/ISNUMBER(SEARCH(SUBSTITUTE(UPPER($E496)," ",""),'DM_HinhThucKham'!$C$2:$C$3)),1)),"Không tìm thấy"))</f>
        <v/>
      </c>
      <c r="P496" s="5">
        <f>IF($K496="","",IFERROR(INDEX('DM_DanToc'!$B$2:$B$78,AGGREGATE(15,6,ROW('DM_DanToc'!$B$2:$B$78)-ROW('DM_DanToc'!$B$2)+1/ISNUMBER(SEARCH(SUBSTITUTE(UPPER($K496)," ",""),'DM_DanToc'!$C$2:$C$78)),1)),"Không tìm thấy"))</f>
        <v/>
      </c>
      <c r="W496" s="5">
        <f>IF($Q496="","",IFERROR(INDEX('DM_TinhThanh'!$B$2:$B$35,AGGREGATE(15,6,ROW('DM_TinhThanh'!$B$2:$B$35)-ROW('DM_TinhThanh'!$B$2)+1/ISNUMBER(SEARCH(SUBSTITUTE(UPPER($Q496)," ",""),'DM_TinhThanh'!$C$2:$C$35)),1)),"Không tìm thấy"))</f>
        <v/>
      </c>
      <c r="Y496" s="5">
        <f>IF($R496="","",IFERROR(INDEX('DM_XaPhuong'!$B$2:$B$169,AGGREGATE(15,6,ROW('DM_XaPhuong'!$B$2:$B$169)-ROW('DM_XaPhuong'!$B$2)+1/ISNUMBER(SEARCH(SUBSTITUTE(UPPER($R496)," ",""),'DM_XaPhuong'!$C$2:$C$169)),1)),"Không tìm thấy"))</f>
        <v/>
      </c>
      <c r="AB496" s="5">
        <f>IF($T496="","",IFERROR(INDEX('DM_NgheNghiep'!$B$2:$B$11,AGGREGATE(15,6,ROW('DM_NgheNghiep'!$B$2:$B$11)-ROW('DM_NgheNghiep'!$B$2)+1/ISNUMBER(SEARCH(SUBSTITUTE(UPPER($T496)," ",""),'DM_NgheNghiep'!$C$2:$C$11)),1)),"Không tìm thấy"))</f>
        <v/>
      </c>
      <c r="AD496" s="5">
        <f>IF($U496="","",IFERROR(INDEX('DM_NoiCongTac'!$B$2:$B$11,AGGREGATE(15,6,ROW('DM_NoiCongTac'!$B$2:$B$11)-ROW('DM_NoiCongTac'!$B$2)+1/ISNUMBER(SEARCH(SUBSTITUTE(UPPER($U496)," ",""),'DM_NoiCongTac'!$C$2:$C$11)),1)),"Không tìm thấy"))</f>
        <v/>
      </c>
      <c r="AF496" s="5">
        <f>IF($V496="","",IFERROR(INDEX('DM_XaPhuong'!$B$2:$B$169,AGGREGATE(15,6,ROW('DM_XaPhuong'!$B$2:$B$169)-ROW('DM_XaPhuong'!$B$2)+1/ISNUMBER(SEARCH(SUBSTITUTE(UPPER($V496)," ",""),'DM_XaPhuong'!$C$2:$C$169)),1)),"Không tìm thấy"))</f>
        <v/>
      </c>
    </row>
    <row r="497">
      <c r="C497" s="5">
        <f>IF($B497="","",IFERROR(INDEX('DM_DoiTuong'!$B$2:$B$19,AGGREGATE(15,6,ROW('DM_DoiTuong'!$B$2:$B$19)-ROW('DM_DoiTuong'!$B$2)+1/ISNUMBER(SEARCH(SUBSTITUTE(UPPER($B497)," ",""),'DM_DoiTuong'!$C$2:$C$19)),1)),"Không tìm thấy"))</f>
        <v/>
      </c>
      <c r="E497" s="5">
        <f>IF($C497="","",IFERROR(INDEX('DM_DiaDiemKham'!$B$2:$B$6,AGGREGATE(15,6,ROW('DM_DiaDiemKham'!$B$2:$B$6)-ROW('DM_DiaDiemKham'!$B$2)+1/ISNUMBER(SEARCH(SUBSTITUTE(UPPER($C497)," ",""),'DM_DiaDiemKham'!$C$2:$C$6)),1)),"Không tìm thấy"))</f>
        <v/>
      </c>
      <c r="G497" s="5">
        <f>IF($D497="","",IFERROR(INDEX('DM_HinhThucChiTra'!$B$2:$B$5,AGGREGATE(15,6,ROW('DM_HinhThucChiTra'!$B$2:$B$5)-ROW('DM_HinhThucChiTra'!$B$2)+1/ISNUMBER(SEARCH(SUBSTITUTE(UPPER($D497)," ",""),'DM_HinhThucChiTra'!$C$2:$C$5)),1)),"Không tìm thấy"))</f>
        <v/>
      </c>
      <c r="I497" s="5">
        <f>IF($E497="","",IFERROR(INDEX('DM_HinhThucKham'!$B$2:$B$3,AGGREGATE(15,6,ROW('DM_HinhThucKham'!$B$2:$B$3)-ROW('DM_HinhThucKham'!$B$2)+1/ISNUMBER(SEARCH(SUBSTITUTE(UPPER($E497)," ",""),'DM_HinhThucKham'!$C$2:$C$3)),1)),"Không tìm thấy"))</f>
        <v/>
      </c>
      <c r="P497" s="5">
        <f>IF($K497="","",IFERROR(INDEX('DM_DanToc'!$B$2:$B$78,AGGREGATE(15,6,ROW('DM_DanToc'!$B$2:$B$78)-ROW('DM_DanToc'!$B$2)+1/ISNUMBER(SEARCH(SUBSTITUTE(UPPER($K497)," ",""),'DM_DanToc'!$C$2:$C$78)),1)),"Không tìm thấy"))</f>
        <v/>
      </c>
      <c r="W497" s="5">
        <f>IF($Q497="","",IFERROR(INDEX('DM_TinhThanh'!$B$2:$B$35,AGGREGATE(15,6,ROW('DM_TinhThanh'!$B$2:$B$35)-ROW('DM_TinhThanh'!$B$2)+1/ISNUMBER(SEARCH(SUBSTITUTE(UPPER($Q497)," ",""),'DM_TinhThanh'!$C$2:$C$35)),1)),"Không tìm thấy"))</f>
        <v/>
      </c>
      <c r="Y497" s="5">
        <f>IF($R497="","",IFERROR(INDEX('DM_XaPhuong'!$B$2:$B$169,AGGREGATE(15,6,ROW('DM_XaPhuong'!$B$2:$B$169)-ROW('DM_XaPhuong'!$B$2)+1/ISNUMBER(SEARCH(SUBSTITUTE(UPPER($R497)," ",""),'DM_XaPhuong'!$C$2:$C$169)),1)),"Không tìm thấy"))</f>
        <v/>
      </c>
      <c r="AB497" s="5">
        <f>IF($T497="","",IFERROR(INDEX('DM_NgheNghiep'!$B$2:$B$11,AGGREGATE(15,6,ROW('DM_NgheNghiep'!$B$2:$B$11)-ROW('DM_NgheNghiep'!$B$2)+1/ISNUMBER(SEARCH(SUBSTITUTE(UPPER($T497)," ",""),'DM_NgheNghiep'!$C$2:$C$11)),1)),"Không tìm thấy"))</f>
        <v/>
      </c>
      <c r="AD497" s="5">
        <f>IF($U497="","",IFERROR(INDEX('DM_NoiCongTac'!$B$2:$B$11,AGGREGATE(15,6,ROW('DM_NoiCongTac'!$B$2:$B$11)-ROW('DM_NoiCongTac'!$B$2)+1/ISNUMBER(SEARCH(SUBSTITUTE(UPPER($U497)," ",""),'DM_NoiCongTac'!$C$2:$C$11)),1)),"Không tìm thấy"))</f>
        <v/>
      </c>
      <c r="AF497" s="5">
        <f>IF($V497="","",IFERROR(INDEX('DM_XaPhuong'!$B$2:$B$169,AGGREGATE(15,6,ROW('DM_XaPhuong'!$B$2:$B$169)-ROW('DM_XaPhuong'!$B$2)+1/ISNUMBER(SEARCH(SUBSTITUTE(UPPER($V497)," ",""),'DM_XaPhuong'!$C$2:$C$169)),1)),"Không tìm thấy"))</f>
        <v/>
      </c>
    </row>
    <row r="498">
      <c r="C498" s="5">
        <f>IF($B498="","",IFERROR(INDEX('DM_DoiTuong'!$B$2:$B$19,AGGREGATE(15,6,ROW('DM_DoiTuong'!$B$2:$B$19)-ROW('DM_DoiTuong'!$B$2)+1/ISNUMBER(SEARCH(SUBSTITUTE(UPPER($B498)," ",""),'DM_DoiTuong'!$C$2:$C$19)),1)),"Không tìm thấy"))</f>
        <v/>
      </c>
      <c r="E498" s="5">
        <f>IF($C498="","",IFERROR(INDEX('DM_DiaDiemKham'!$B$2:$B$6,AGGREGATE(15,6,ROW('DM_DiaDiemKham'!$B$2:$B$6)-ROW('DM_DiaDiemKham'!$B$2)+1/ISNUMBER(SEARCH(SUBSTITUTE(UPPER($C498)," ",""),'DM_DiaDiemKham'!$C$2:$C$6)),1)),"Không tìm thấy"))</f>
        <v/>
      </c>
      <c r="G498" s="5">
        <f>IF($D498="","",IFERROR(INDEX('DM_HinhThucChiTra'!$B$2:$B$5,AGGREGATE(15,6,ROW('DM_HinhThucChiTra'!$B$2:$B$5)-ROW('DM_HinhThucChiTra'!$B$2)+1/ISNUMBER(SEARCH(SUBSTITUTE(UPPER($D498)," ",""),'DM_HinhThucChiTra'!$C$2:$C$5)),1)),"Không tìm thấy"))</f>
        <v/>
      </c>
      <c r="I498" s="5">
        <f>IF($E498="","",IFERROR(INDEX('DM_HinhThucKham'!$B$2:$B$3,AGGREGATE(15,6,ROW('DM_HinhThucKham'!$B$2:$B$3)-ROW('DM_HinhThucKham'!$B$2)+1/ISNUMBER(SEARCH(SUBSTITUTE(UPPER($E498)," ",""),'DM_HinhThucKham'!$C$2:$C$3)),1)),"Không tìm thấy"))</f>
        <v/>
      </c>
      <c r="P498" s="5">
        <f>IF($K498="","",IFERROR(INDEX('DM_DanToc'!$B$2:$B$78,AGGREGATE(15,6,ROW('DM_DanToc'!$B$2:$B$78)-ROW('DM_DanToc'!$B$2)+1/ISNUMBER(SEARCH(SUBSTITUTE(UPPER($K498)," ",""),'DM_DanToc'!$C$2:$C$78)),1)),"Không tìm thấy"))</f>
        <v/>
      </c>
      <c r="W498" s="5">
        <f>IF($Q498="","",IFERROR(INDEX('DM_TinhThanh'!$B$2:$B$35,AGGREGATE(15,6,ROW('DM_TinhThanh'!$B$2:$B$35)-ROW('DM_TinhThanh'!$B$2)+1/ISNUMBER(SEARCH(SUBSTITUTE(UPPER($Q498)," ",""),'DM_TinhThanh'!$C$2:$C$35)),1)),"Không tìm thấy"))</f>
        <v/>
      </c>
      <c r="Y498" s="5">
        <f>IF($R498="","",IFERROR(INDEX('DM_XaPhuong'!$B$2:$B$169,AGGREGATE(15,6,ROW('DM_XaPhuong'!$B$2:$B$169)-ROW('DM_XaPhuong'!$B$2)+1/ISNUMBER(SEARCH(SUBSTITUTE(UPPER($R498)," ",""),'DM_XaPhuong'!$C$2:$C$169)),1)),"Không tìm thấy"))</f>
        <v/>
      </c>
      <c r="AB498" s="5">
        <f>IF($T498="","",IFERROR(INDEX('DM_NgheNghiep'!$B$2:$B$11,AGGREGATE(15,6,ROW('DM_NgheNghiep'!$B$2:$B$11)-ROW('DM_NgheNghiep'!$B$2)+1/ISNUMBER(SEARCH(SUBSTITUTE(UPPER($T498)," ",""),'DM_NgheNghiep'!$C$2:$C$11)),1)),"Không tìm thấy"))</f>
        <v/>
      </c>
      <c r="AD498" s="5">
        <f>IF($U498="","",IFERROR(INDEX('DM_NoiCongTac'!$B$2:$B$11,AGGREGATE(15,6,ROW('DM_NoiCongTac'!$B$2:$B$11)-ROW('DM_NoiCongTac'!$B$2)+1/ISNUMBER(SEARCH(SUBSTITUTE(UPPER($U498)," ",""),'DM_NoiCongTac'!$C$2:$C$11)),1)),"Không tìm thấy"))</f>
        <v/>
      </c>
      <c r="AF498" s="5">
        <f>IF($V498="","",IFERROR(INDEX('DM_XaPhuong'!$B$2:$B$169,AGGREGATE(15,6,ROW('DM_XaPhuong'!$B$2:$B$169)-ROW('DM_XaPhuong'!$B$2)+1/ISNUMBER(SEARCH(SUBSTITUTE(UPPER($V498)," ",""),'DM_XaPhuong'!$C$2:$C$169)),1)),"Không tìm thấy"))</f>
        <v/>
      </c>
    </row>
    <row r="499">
      <c r="C499" s="5">
        <f>IF($B499="","",IFERROR(INDEX('DM_DoiTuong'!$B$2:$B$19,AGGREGATE(15,6,ROW('DM_DoiTuong'!$B$2:$B$19)-ROW('DM_DoiTuong'!$B$2)+1/ISNUMBER(SEARCH(SUBSTITUTE(UPPER($B499)," ",""),'DM_DoiTuong'!$C$2:$C$19)),1)),"Không tìm thấy"))</f>
        <v/>
      </c>
      <c r="E499" s="5">
        <f>IF($C499="","",IFERROR(INDEX('DM_DiaDiemKham'!$B$2:$B$6,AGGREGATE(15,6,ROW('DM_DiaDiemKham'!$B$2:$B$6)-ROW('DM_DiaDiemKham'!$B$2)+1/ISNUMBER(SEARCH(SUBSTITUTE(UPPER($C499)," ",""),'DM_DiaDiemKham'!$C$2:$C$6)),1)),"Không tìm thấy"))</f>
        <v/>
      </c>
      <c r="G499" s="5">
        <f>IF($D499="","",IFERROR(INDEX('DM_HinhThucChiTra'!$B$2:$B$5,AGGREGATE(15,6,ROW('DM_HinhThucChiTra'!$B$2:$B$5)-ROW('DM_HinhThucChiTra'!$B$2)+1/ISNUMBER(SEARCH(SUBSTITUTE(UPPER($D499)," ",""),'DM_HinhThucChiTra'!$C$2:$C$5)),1)),"Không tìm thấy"))</f>
        <v/>
      </c>
      <c r="I499" s="5">
        <f>IF($E499="","",IFERROR(INDEX('DM_HinhThucKham'!$B$2:$B$3,AGGREGATE(15,6,ROW('DM_HinhThucKham'!$B$2:$B$3)-ROW('DM_HinhThucKham'!$B$2)+1/ISNUMBER(SEARCH(SUBSTITUTE(UPPER($E499)," ",""),'DM_HinhThucKham'!$C$2:$C$3)),1)),"Không tìm thấy"))</f>
        <v/>
      </c>
      <c r="P499" s="5">
        <f>IF($K499="","",IFERROR(INDEX('DM_DanToc'!$B$2:$B$78,AGGREGATE(15,6,ROW('DM_DanToc'!$B$2:$B$78)-ROW('DM_DanToc'!$B$2)+1/ISNUMBER(SEARCH(SUBSTITUTE(UPPER($K499)," ",""),'DM_DanToc'!$C$2:$C$78)),1)),"Không tìm thấy"))</f>
        <v/>
      </c>
      <c r="W499" s="5">
        <f>IF($Q499="","",IFERROR(INDEX('DM_TinhThanh'!$B$2:$B$35,AGGREGATE(15,6,ROW('DM_TinhThanh'!$B$2:$B$35)-ROW('DM_TinhThanh'!$B$2)+1/ISNUMBER(SEARCH(SUBSTITUTE(UPPER($Q499)," ",""),'DM_TinhThanh'!$C$2:$C$35)),1)),"Không tìm thấy"))</f>
        <v/>
      </c>
      <c r="Y499" s="5">
        <f>IF($R499="","",IFERROR(INDEX('DM_XaPhuong'!$B$2:$B$169,AGGREGATE(15,6,ROW('DM_XaPhuong'!$B$2:$B$169)-ROW('DM_XaPhuong'!$B$2)+1/ISNUMBER(SEARCH(SUBSTITUTE(UPPER($R499)," ",""),'DM_XaPhuong'!$C$2:$C$169)),1)),"Không tìm thấy"))</f>
        <v/>
      </c>
      <c r="AB499" s="5">
        <f>IF($T499="","",IFERROR(INDEX('DM_NgheNghiep'!$B$2:$B$11,AGGREGATE(15,6,ROW('DM_NgheNghiep'!$B$2:$B$11)-ROW('DM_NgheNghiep'!$B$2)+1/ISNUMBER(SEARCH(SUBSTITUTE(UPPER($T499)," ",""),'DM_NgheNghiep'!$C$2:$C$11)),1)),"Không tìm thấy"))</f>
        <v/>
      </c>
      <c r="AD499" s="5">
        <f>IF($U499="","",IFERROR(INDEX('DM_NoiCongTac'!$B$2:$B$11,AGGREGATE(15,6,ROW('DM_NoiCongTac'!$B$2:$B$11)-ROW('DM_NoiCongTac'!$B$2)+1/ISNUMBER(SEARCH(SUBSTITUTE(UPPER($U499)," ",""),'DM_NoiCongTac'!$C$2:$C$11)),1)),"Không tìm thấy"))</f>
        <v/>
      </c>
      <c r="AF499" s="5">
        <f>IF($V499="","",IFERROR(INDEX('DM_XaPhuong'!$B$2:$B$169,AGGREGATE(15,6,ROW('DM_XaPhuong'!$B$2:$B$169)-ROW('DM_XaPhuong'!$B$2)+1/ISNUMBER(SEARCH(SUBSTITUTE(UPPER($V499)," ",""),'DM_XaPhuong'!$C$2:$C$169)),1)),"Không tìm thấy"))</f>
        <v/>
      </c>
    </row>
    <row r="500">
      <c r="C500" s="5">
        <f>IF($B500="","",IFERROR(INDEX('DM_DoiTuong'!$B$2:$B$19,AGGREGATE(15,6,ROW('DM_DoiTuong'!$B$2:$B$19)-ROW('DM_DoiTuong'!$B$2)+1/ISNUMBER(SEARCH(SUBSTITUTE(UPPER($B500)," ",""),'DM_DoiTuong'!$C$2:$C$19)),1)),"Không tìm thấy"))</f>
        <v/>
      </c>
      <c r="E500" s="5">
        <f>IF($C500="","",IFERROR(INDEX('DM_DiaDiemKham'!$B$2:$B$6,AGGREGATE(15,6,ROW('DM_DiaDiemKham'!$B$2:$B$6)-ROW('DM_DiaDiemKham'!$B$2)+1/ISNUMBER(SEARCH(SUBSTITUTE(UPPER($C500)," ",""),'DM_DiaDiemKham'!$C$2:$C$6)),1)),"Không tìm thấy"))</f>
        <v/>
      </c>
      <c r="G500" s="5">
        <f>IF($D500="","",IFERROR(INDEX('DM_HinhThucChiTra'!$B$2:$B$5,AGGREGATE(15,6,ROW('DM_HinhThucChiTra'!$B$2:$B$5)-ROW('DM_HinhThucChiTra'!$B$2)+1/ISNUMBER(SEARCH(SUBSTITUTE(UPPER($D500)," ",""),'DM_HinhThucChiTra'!$C$2:$C$5)),1)),"Không tìm thấy"))</f>
        <v/>
      </c>
      <c r="I500" s="5">
        <f>IF($E500="","",IFERROR(INDEX('DM_HinhThucKham'!$B$2:$B$3,AGGREGATE(15,6,ROW('DM_HinhThucKham'!$B$2:$B$3)-ROW('DM_HinhThucKham'!$B$2)+1/ISNUMBER(SEARCH(SUBSTITUTE(UPPER($E500)," ",""),'DM_HinhThucKham'!$C$2:$C$3)),1)),"Không tìm thấy"))</f>
        <v/>
      </c>
      <c r="P500" s="5">
        <f>IF($K500="","",IFERROR(INDEX('DM_DanToc'!$B$2:$B$78,AGGREGATE(15,6,ROW('DM_DanToc'!$B$2:$B$78)-ROW('DM_DanToc'!$B$2)+1/ISNUMBER(SEARCH(SUBSTITUTE(UPPER($K500)," ",""),'DM_DanToc'!$C$2:$C$78)),1)),"Không tìm thấy"))</f>
        <v/>
      </c>
      <c r="W500" s="5">
        <f>IF($Q500="","",IFERROR(INDEX('DM_TinhThanh'!$B$2:$B$35,AGGREGATE(15,6,ROW('DM_TinhThanh'!$B$2:$B$35)-ROW('DM_TinhThanh'!$B$2)+1/ISNUMBER(SEARCH(SUBSTITUTE(UPPER($Q500)," ",""),'DM_TinhThanh'!$C$2:$C$35)),1)),"Không tìm thấy"))</f>
        <v/>
      </c>
      <c r="Y500" s="5">
        <f>IF($R500="","",IFERROR(INDEX('DM_XaPhuong'!$B$2:$B$169,AGGREGATE(15,6,ROW('DM_XaPhuong'!$B$2:$B$169)-ROW('DM_XaPhuong'!$B$2)+1/ISNUMBER(SEARCH(SUBSTITUTE(UPPER($R500)," ",""),'DM_XaPhuong'!$C$2:$C$169)),1)),"Không tìm thấy"))</f>
        <v/>
      </c>
      <c r="AB500" s="5">
        <f>IF($T500="","",IFERROR(INDEX('DM_NgheNghiep'!$B$2:$B$11,AGGREGATE(15,6,ROW('DM_NgheNghiep'!$B$2:$B$11)-ROW('DM_NgheNghiep'!$B$2)+1/ISNUMBER(SEARCH(SUBSTITUTE(UPPER($T500)," ",""),'DM_NgheNghiep'!$C$2:$C$11)),1)),"Không tìm thấy"))</f>
        <v/>
      </c>
      <c r="AD500" s="5">
        <f>IF($U500="","",IFERROR(INDEX('DM_NoiCongTac'!$B$2:$B$11,AGGREGATE(15,6,ROW('DM_NoiCongTac'!$B$2:$B$11)-ROW('DM_NoiCongTac'!$B$2)+1/ISNUMBER(SEARCH(SUBSTITUTE(UPPER($U500)," ",""),'DM_NoiCongTac'!$C$2:$C$11)),1)),"Không tìm thấy"))</f>
        <v/>
      </c>
      <c r="AF500" s="5">
        <f>IF($V500="","",IFERROR(INDEX('DM_XaPhuong'!$B$2:$B$169,AGGREGATE(15,6,ROW('DM_XaPhuong'!$B$2:$B$169)-ROW('DM_XaPhuong'!$B$2)+1/ISNUMBER(SEARCH(SUBSTITUTE(UPPER($V500)," ",""),'DM_XaPhuong'!$C$2:$C$169)),1)),"Không tìm thấy"))</f>
        <v/>
      </c>
    </row>
  </sheetData>
  <dataValidations count="3">
    <dataValidation sqref="J3:J500" showDropDown="0" showInputMessage="0" showErrorMessage="0" allowBlank="1" errorTitle="Sai danh mục" error="Chọn giá trị trong danh mục" type="list">
      <formula1>'DM_GioiTinh'!$B$2:$B$3</formula1>
    </dataValidation>
    <dataValidation sqref="L3:L500" showDropDown="0" showInputMessage="0" showErrorMessage="0" allowBlank="1" errorTitle="Sai danh mục" error="Chọn giá trị trong danh mục" type="list">
      <formula1>'DM_NhomMau'!$B$2:$B$5</formula1>
    </dataValidation>
    <dataValidation sqref="M3:M500" showDropDown="0" showInputMessage="0" showErrorMessage="0" allowBlank="1" errorTitle="Sai danh mục" error="Chọn giá trị trong danh mục" type="list">
      <formula1>'DM_YeuToNhomMau'!$B$2:$B$3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55" customWidth="1" min="3" max="3"/>
  </cols>
  <sheetData>
    <row r="1" ht="36" customHeight="1">
      <c r="A1" s="1" t="inlineStr">
        <is>
          <t>CotExcel</t>
        </is>
      </c>
      <c r="B1" s="1" t="inlineStr">
        <is>
          <t>FieldAPI</t>
        </is>
      </c>
      <c r="C1" s="1" t="inlineStr">
        <is>
          <t>GoiY</t>
        </is>
      </c>
    </row>
    <row r="2">
      <c r="A2" t="inlineStr">
        <is>
          <t>NgayKham</t>
        </is>
      </c>
      <c r="B2" t="inlineStr">
        <is>
          <t>NgayKham</t>
        </is>
      </c>
      <c r="C2" t="inlineStr">
        <is>
          <t>dd/MM/yyyy — Ngày khám</t>
        </is>
      </c>
    </row>
    <row r="3">
      <c r="A3" t="inlineStr">
        <is>
          <t>DoiTuong</t>
        </is>
      </c>
      <c r="B3" t="inlineStr">
        <is>
          <t>DoiTuong_M13</t>
        </is>
      </c>
      <c r="C3" t="inlineStr">
        <is>
          <t>Chọn từ sheet DM_DoiTuong (điền Name hoặc Id)</t>
        </is>
      </c>
    </row>
    <row r="4">
      <c r="A4" t="inlineStr">
        <is>
          <t>DiaDiemKham</t>
        </is>
      </c>
      <c r="B4" t="inlineStr">
        <is>
          <t>DoiTuongKham</t>
        </is>
      </c>
      <c r="C4" t="inlineStr">
        <is>
          <t>Chọn từ DM_DiaDiemKham</t>
        </is>
      </c>
    </row>
    <row r="5">
      <c r="A5" t="inlineStr">
        <is>
          <t>HinhThucChiTra</t>
        </is>
      </c>
      <c r="B5" t="inlineStr">
        <is>
          <t>HinhThucChiTraKhamSK</t>
        </is>
      </c>
      <c r="C5" t="inlineStr">
        <is>
          <t>Chọn từ DM_HinhThucChiTra</t>
        </is>
      </c>
    </row>
    <row r="6">
      <c r="A6" t="inlineStr">
        <is>
          <t>HinhThucKham</t>
        </is>
      </c>
      <c r="B6" t="inlineStr">
        <is>
          <t>HinhThucChiTraKhamSK_ChiTiet</t>
        </is>
      </c>
      <c r="C6" t="inlineStr">
        <is>
          <t>Chọn từ DM_HinhThucKham</t>
        </is>
      </c>
    </row>
    <row r="7">
      <c r="A7" t="inlineStr">
        <is>
          <t>NguonKhac_GhiRo</t>
        </is>
      </c>
      <c r="B7" t="inlineStr">
        <is>
          <t>NguonKhac_GhiRo</t>
        </is>
      </c>
      <c r="C7" t="inlineStr">
        <is>
          <t>Nếu hình thức chi trả = nguồn khác</t>
        </is>
      </c>
    </row>
    <row r="8">
      <c r="A8" t="inlineStr">
        <is>
          <t>CCCD</t>
        </is>
      </c>
      <c r="B8" t="inlineStr">
        <is>
          <t>DinhDanhCaNhan</t>
        </is>
      </c>
      <c r="C8" t="inlineStr">
        <is>
          <t>Số CCCD / định danh / hộ chiếu</t>
        </is>
      </c>
    </row>
    <row r="9">
      <c r="A9" t="inlineStr">
        <is>
          <t>HoTen</t>
        </is>
      </c>
      <c r="B9" t="inlineStr">
        <is>
          <t>HoTen</t>
        </is>
      </c>
      <c r="C9" t="inlineStr">
        <is>
          <t>Họ tên IN HOA</t>
        </is>
      </c>
    </row>
    <row r="10">
      <c r="A10" t="inlineStr">
        <is>
          <t>NgaySinh</t>
        </is>
      </c>
      <c r="B10" t="inlineStr">
        <is>
          <t>NgaySinh</t>
        </is>
      </c>
      <c r="C10" t="inlineStr">
        <is>
          <t>dd/MM/yyyy</t>
        </is>
      </c>
    </row>
    <row r="11">
      <c r="A11" t="inlineStr">
        <is>
          <t>GioiTinh</t>
        </is>
      </c>
      <c r="B11" t="inlineStr">
        <is>
          <t>GioiTinh</t>
        </is>
      </c>
      <c r="C11" t="inlineStr">
        <is>
          <t>Nam hoặc Nữ</t>
        </is>
      </c>
    </row>
    <row r="12">
      <c r="A12" t="inlineStr">
        <is>
          <t>DanToc</t>
        </is>
      </c>
      <c r="B12" t="inlineStr">
        <is>
          <t>DanTocId</t>
        </is>
      </c>
      <c r="C12" t="inlineStr">
        <is>
          <t>Chọn từ DM_DanToc (mặc định: Kinh)</t>
        </is>
      </c>
    </row>
    <row r="13">
      <c r="A13" t="inlineStr">
        <is>
          <t>NhomMau</t>
        </is>
      </c>
      <c r="B13" t="inlineStr">
        <is>
          <t>NhomMauId</t>
        </is>
      </c>
      <c r="C13" t="inlineStr">
        <is>
          <t>A/B/O/AB — để trống nếu không có</t>
        </is>
      </c>
    </row>
    <row r="14">
      <c r="A14" t="inlineStr">
        <is>
          <t>YeuToNhomMau</t>
        </is>
      </c>
      <c r="B14" t="inlineStr">
        <is>
          <t>YeuToNhomMauId</t>
        </is>
      </c>
      <c r="C14" t="inlineStr">
        <is>
          <t>Rh+ / Rh-</t>
        </is>
      </c>
    </row>
    <row r="15">
      <c r="A15" t="inlineStr">
        <is>
          <t>BHYT</t>
        </is>
      </c>
      <c r="B15" t="inlineStr">
        <is>
          <t>BHYT</t>
        </is>
      </c>
      <c r="C15" t="inlineStr">
        <is>
          <t>Số thẻ BHYT</t>
        </is>
      </c>
    </row>
    <row r="16">
      <c r="A16" t="inlineStr">
        <is>
          <t>SDT</t>
        </is>
      </c>
      <c r="B16" t="inlineStr">
        <is>
          <t>SDT</t>
        </is>
      </c>
      <c r="C16" t="inlineStr">
        <is>
          <t>Điện thoại</t>
        </is>
      </c>
    </row>
    <row r="17">
      <c r="A17" t="inlineStr">
        <is>
          <t>NoiOHienTai</t>
        </is>
      </c>
      <c r="B17" t="inlineStr">
        <is>
          <t>DiaChiHienTai</t>
        </is>
      </c>
      <c r="C17" t="inlineStr">
        <is>
          <t>Số nhà, đường...</t>
        </is>
      </c>
    </row>
    <row r="18">
      <c r="A18" t="inlineStr">
        <is>
          <t>TinhThanh</t>
        </is>
      </c>
      <c r="B18" t="inlineStr">
        <is>
          <t>DiaChiHienTai_Tinh</t>
        </is>
      </c>
      <c r="C18" t="inlineStr">
        <is>
          <t>Chọn từ DM_TinhThanh</t>
        </is>
      </c>
    </row>
    <row r="19">
      <c r="A19" t="inlineStr">
        <is>
          <t>XaPhuong</t>
        </is>
      </c>
      <c r="B19" t="inlineStr">
        <is>
          <t>DiaChiHienTai_XaPhuong</t>
        </is>
      </c>
      <c r="C19" t="inlineStr">
        <is>
          <t>Chọn từ DM_XaPhuong (theo tỉnh)</t>
        </is>
      </c>
    </row>
    <row r="20">
      <c r="A20" t="inlineStr">
        <is>
          <t>NgheNghiepId</t>
        </is>
      </c>
      <c r="B20" t="inlineStr">
        <is>
          <t>NgheNghiepId</t>
        </is>
      </c>
      <c r="C20" t="inlineStr">
        <is>
          <t>Id nghề nghiệp nếu biết</t>
        </is>
      </c>
    </row>
    <row r="21">
      <c r="A21" t="inlineStr">
        <is>
          <t>NgheNghiep</t>
        </is>
      </c>
      <c r="B21" t="inlineStr">
        <is>
          <t>NgheNghiep</t>
        </is>
      </c>
      <c r="C21" t="inlineStr">
        <is>
          <t>Tên nghề nghiệp (text)</t>
        </is>
      </c>
    </row>
    <row r="22">
      <c r="A22" t="inlineStr">
        <is>
          <t>NoiCongTac</t>
        </is>
      </c>
      <c r="B22" t="inlineStr">
        <is>
          <t>NoiCongTac</t>
        </is>
      </c>
      <c r="C22" t="inlineStr">
        <is>
          <t>Id hoặc Name từ DM_NoiCongTac</t>
        </is>
      </c>
    </row>
    <row r="23">
      <c r="A23" t="inlineStr">
        <is>
          <t>XaPhuongCongTac</t>
        </is>
      </c>
      <c r="B23" t="inlineStr">
        <is>
          <t>NoiCongTac_XaPhuong</t>
        </is>
      </c>
      <c r="C23" t="inlineStr">
        <is>
          <t>Xã/phường nơi công tác</t>
        </is>
      </c>
    </row>
    <row r="24">
      <c r="A24" t="inlineStr">
        <is>
          <t>LyDoKham</t>
        </is>
      </c>
      <c r="B24" t="inlineStr">
        <is>
          <t>LyDoKham</t>
        </is>
      </c>
      <c r="C24" t="inlineStr">
        <is>
          <t>Lý do khám sức khỏe</t>
        </is>
      </c>
    </row>
    <row r="25">
      <c r="A25" t="inlineStr">
        <is>
          <t>MaBanGhi</t>
        </is>
      </c>
      <c r="B25" t="inlineStr">
        <is>
          <t>_output</t>
        </is>
      </c>
      <c r="C25" t="inlineStr">
        <is>
          <t>Script ghi — mã bản ghi trên web</t>
        </is>
      </c>
    </row>
    <row r="26">
      <c r="A26" t="inlineStr">
        <is>
          <t>TrangThai</t>
        </is>
      </c>
      <c r="B26" t="inlineStr">
        <is>
          <t>_output</t>
        </is>
      </c>
      <c r="C26" t="inlineStr">
        <is>
          <t>THANH_CONG / TRUNG / LOI</t>
        </is>
      </c>
    </row>
    <row r="27">
      <c r="A27" t="inlineStr">
        <is>
          <t>GhiChu</t>
        </is>
      </c>
      <c r="B27" t="inlineStr">
        <is>
          <t>_output</t>
        </is>
      </c>
      <c r="C27" t="inlineStr">
        <is>
          <t>Thông báo từ hệ thống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28" customWidth="1" min="3" max="3"/>
  </cols>
  <sheetData>
    <row r="1" ht="36" customHeight="1">
      <c r="A1" s="1" t="inlineStr">
        <is>
          <t>Id</t>
        </is>
      </c>
      <c r="B1" s="1" t="inlineStr">
        <is>
          <t>Name</t>
        </is>
      </c>
      <c r="C1" s="6" t="inlineStr">
        <is>
          <t>TimKiem</t>
        </is>
      </c>
    </row>
    <row r="2">
      <c r="A2" t="n">
        <v>1</v>
      </c>
      <c r="B2" t="inlineStr">
        <is>
          <t>Sinh Viên, học viên</t>
        </is>
      </c>
      <c r="C2" t="inlineStr">
        <is>
          <t>SINHVIEN,HOCVIEN</t>
        </is>
      </c>
    </row>
    <row r="3">
      <c r="A3" t="n">
        <v>2</v>
      </c>
      <c r="B3" t="inlineStr">
        <is>
          <t>Người lao động (theo pháp luật về an toàn, vệ sinh lao động)</t>
        </is>
      </c>
      <c r="C3" t="inlineStr">
        <is>
          <t>NGUOILAODONG(THEOPHAPLUATVEANTOAN,VESINHLAODONG)</t>
        </is>
      </c>
    </row>
    <row r="4">
      <c r="A4" t="n">
        <v>3</v>
      </c>
      <c r="B4" t="inlineStr">
        <is>
          <t>Người lao động phi chính thức</t>
        </is>
      </c>
      <c r="C4" t="inlineStr">
        <is>
          <t>NGUOILAODONGPHICHINHTHUC</t>
        </is>
      </c>
    </row>
    <row r="5">
      <c r="A5" t="n">
        <v>4</v>
      </c>
      <c r="B5" t="inlineStr">
        <is>
          <t>Người thuộc nhóm bảo trợ xã hội</t>
        </is>
      </c>
      <c r="C5" t="inlineStr">
        <is>
          <t>NGUOITHUOCNHOMBAOTROXAHOI</t>
        </is>
      </c>
    </row>
    <row r="6">
      <c r="A6" t="n">
        <v>5</v>
      </c>
      <c r="B6" t="inlineStr">
        <is>
          <t>Người cao tuổi</t>
        </is>
      </c>
      <c r="C6" t="inlineStr">
        <is>
          <t>NGUOICAOTUOI</t>
        </is>
      </c>
    </row>
    <row r="7">
      <c r="A7" t="n">
        <v>6</v>
      </c>
      <c r="B7" t="inlineStr">
        <is>
          <t>Người khuyết tật</t>
        </is>
      </c>
      <c r="C7" t="inlineStr">
        <is>
          <t>NGUOIKHUYETTAT</t>
        </is>
      </c>
    </row>
    <row r="8">
      <c r="A8" t="n">
        <v>7</v>
      </c>
      <c r="B8" t="inlineStr">
        <is>
          <t>Người thuộc hộ nghèo, cận nghèo</t>
        </is>
      </c>
      <c r="C8" t="inlineStr">
        <is>
          <t>NGUOITHUOCHONGHEO,CANNGHEO</t>
        </is>
      </c>
    </row>
    <row r="9">
      <c r="A9" t="n">
        <v>8</v>
      </c>
      <c r="B9" t="inlineStr">
        <is>
          <t>Người có công</t>
        </is>
      </c>
      <c r="C9" t="inlineStr">
        <is>
          <t>NGUOICOCONG</t>
        </is>
      </c>
    </row>
    <row r="10">
      <c r="A10" t="n">
        <v>9</v>
      </c>
      <c r="B10" t="inlineStr">
        <is>
          <t>Người mắc bệnh mạn tính</t>
        </is>
      </c>
      <c r="C10" t="inlineStr">
        <is>
          <t>NGUOIMACBENHMANTINH</t>
        </is>
      </c>
    </row>
    <row r="11">
      <c r="A11" t="n">
        <v>10</v>
      </c>
      <c r="B11" t="inlineStr">
        <is>
          <t>Người sống tại vùng đồng bào dân tộc thiểu số và miền núi</t>
        </is>
      </c>
      <c r="C11" t="inlineStr">
        <is>
          <t>NGUOISONGTAIVUNGDONGBAODANTOCTHIEUSOVAMIENNUI</t>
        </is>
      </c>
    </row>
    <row r="12">
      <c r="A12" t="n">
        <v>11</v>
      </c>
      <c r="B12" t="inlineStr">
        <is>
          <t>Người sống tại vùng có điều kiện kinh tế - xã hội khó khăn, đặc biệt khó khăn</t>
        </is>
      </c>
      <c r="C12" t="inlineStr">
        <is>
          <t>NGUOISONGTAIVUNGCODIEUKIENKINHTE-XAHOIKHOKHAN,DACBIETKHOKHAN</t>
        </is>
      </c>
    </row>
    <row r="13">
      <c r="A13" t="n">
        <v>12</v>
      </c>
      <c r="B13" t="inlineStr">
        <is>
          <t>Người sống tại xã đảo</t>
        </is>
      </c>
      <c r="C13" t="inlineStr">
        <is>
          <t>NGUOISONGTAIXADAO</t>
        </is>
      </c>
    </row>
    <row r="14">
      <c r="A14" t="n">
        <v>13</v>
      </c>
      <c r="B14" t="inlineStr">
        <is>
          <t>Người sống tại đặc khu</t>
        </is>
      </c>
      <c r="C14" t="inlineStr">
        <is>
          <t>NGUOISONGTAIDACKHU</t>
        </is>
      </c>
    </row>
    <row r="15">
      <c r="A15" t="n">
        <v>14</v>
      </c>
      <c r="B15" t="inlineStr">
        <is>
          <t>Trẻ dưới 6 tuổi đi học (trẻ đang học mầm non)</t>
        </is>
      </c>
      <c r="C15" t="inlineStr">
        <is>
          <t>TREDUOI6TUOIDIHOC(TREDANGHOCMAMNON)</t>
        </is>
      </c>
    </row>
    <row r="16">
      <c r="A16" t="n">
        <v>15</v>
      </c>
      <c r="B16" t="inlineStr">
        <is>
          <t>Trẻ dưới 6 tuổi không đi học</t>
        </is>
      </c>
      <c r="C16" t="inlineStr">
        <is>
          <t>TREDUOI6TUOIKHONGDIHOC</t>
        </is>
      </c>
    </row>
    <row r="17">
      <c r="A17" t="n">
        <v>16</v>
      </c>
      <c r="B17" t="inlineStr">
        <is>
          <t>Trẻ từ đủ 6 tuổi đến 18 tuổi đi học (lớp 1 đến lớp 12)</t>
        </is>
      </c>
      <c r="C17" t="inlineStr">
        <is>
          <t>TRETUDU6TUOIDEN18TUOIDIHOC(LOP1DENLOP12)</t>
        </is>
      </c>
    </row>
    <row r="18">
      <c r="A18" t="n">
        <v>17</v>
      </c>
      <c r="B18" t="inlineStr">
        <is>
          <t>Trẻ từ đủ 6 tuổi đến 18 tuổi không đi học</t>
        </is>
      </c>
      <c r="C18" t="inlineStr">
        <is>
          <t>TRETUDU6TUOIDEN18TUOIKHONGDIHOC</t>
        </is>
      </c>
    </row>
    <row r="19">
      <c r="A19" t="n">
        <v>18</v>
      </c>
      <c r="B19" t="inlineStr">
        <is>
          <t>Các đối tượng khác</t>
        </is>
      </c>
      <c r="C19" t="inlineStr">
        <is>
          <t>CACDOITUONGKHAC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28" customWidth="1" min="3" max="3"/>
  </cols>
  <sheetData>
    <row r="1" ht="36" customHeight="1">
      <c r="A1" s="1" t="inlineStr">
        <is>
          <t>Id</t>
        </is>
      </c>
      <c r="B1" s="1" t="inlineStr">
        <is>
          <t>Name</t>
        </is>
      </c>
      <c r="C1" s="6" t="inlineStr">
        <is>
          <t>TimKiem</t>
        </is>
      </c>
    </row>
    <row r="2">
      <c r="A2" t="n">
        <v>4052</v>
      </c>
      <c r="B2" t="inlineStr">
        <is>
          <t>Cơ Sở Khám Chữa Bệnh</t>
        </is>
      </c>
      <c r="C2" t="inlineStr">
        <is>
          <t>COSOKHAMCHUABENH</t>
        </is>
      </c>
    </row>
    <row r="3">
      <c r="A3" t="n">
        <v>4053</v>
      </c>
      <c r="B3" t="inlineStr">
        <is>
          <t>Khám Lưu Động</t>
        </is>
      </c>
      <c r="C3" t="inlineStr">
        <is>
          <t>KHAMLUUDONG</t>
        </is>
      </c>
    </row>
    <row r="4">
      <c r="A4" t="n">
        <v>5057</v>
      </c>
      <c r="B4" t="inlineStr">
        <is>
          <t>Trạm Y Tế</t>
        </is>
      </c>
      <c r="C4" t="inlineStr">
        <is>
          <t>TRAMYTE</t>
        </is>
      </c>
    </row>
    <row r="5">
      <c r="A5" t="n">
        <v>5060</v>
      </c>
      <c r="B5" t="inlineStr">
        <is>
          <t>KSK Tại Nhà</t>
        </is>
      </c>
      <c r="C5" t="inlineStr">
        <is>
          <t>KSKTAINHA</t>
        </is>
      </c>
    </row>
    <row r="6">
      <c r="A6" t="n">
        <v>5131</v>
      </c>
      <c r="B6" t="inlineStr">
        <is>
          <t>Trường Học</t>
        </is>
      </c>
      <c r="C6" t="inlineStr">
        <is>
          <t>TRUONGHOC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28" customWidth="1" min="3" max="3"/>
  </cols>
  <sheetData>
    <row r="1" ht="36" customHeight="1">
      <c r="A1" s="1" t="inlineStr">
        <is>
          <t>Id</t>
        </is>
      </c>
      <c r="B1" s="1" t="inlineStr">
        <is>
          <t>Name</t>
        </is>
      </c>
      <c r="C1" s="6" t="inlineStr">
        <is>
          <t>TimKiem</t>
        </is>
      </c>
    </row>
    <row r="2">
      <c r="A2" t="n">
        <v>4039</v>
      </c>
      <c r="B2" t="inlineStr">
        <is>
          <t xml:space="preserve">Ngân sách thành phố hỗ trợ </t>
        </is>
      </c>
      <c r="C2" t="inlineStr">
        <is>
          <t>NGANSACHTHANHPHOHOTRO</t>
        </is>
      </c>
    </row>
    <row r="3">
      <c r="A3" t="n">
        <v>4040</v>
      </c>
      <c r="B3" t="inlineStr">
        <is>
          <t>Người sử dụng lao động chi trả</t>
        </is>
      </c>
      <c r="C3" t="inlineStr">
        <is>
          <t>NGUOISUDUNGLAODONGCHITRA</t>
        </is>
      </c>
    </row>
    <row r="4">
      <c r="A4" t="n">
        <v>4041</v>
      </c>
      <c r="B4" t="inlineStr">
        <is>
          <t>Người dân tự chi trả</t>
        </is>
      </c>
      <c r="C4" t="inlineStr">
        <is>
          <t>NGUOIDANTUCHITRA</t>
        </is>
      </c>
    </row>
    <row r="5">
      <c r="A5" t="n">
        <v>4042</v>
      </c>
      <c r="B5" t="inlineStr">
        <is>
          <t>Nguồn khác</t>
        </is>
      </c>
      <c r="C5" t="inlineStr">
        <is>
          <t>NGUONKHAC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28" customWidth="1" min="3" max="3"/>
  </cols>
  <sheetData>
    <row r="1" ht="36" customHeight="1">
      <c r="A1" s="1" t="inlineStr">
        <is>
          <t>Id</t>
        </is>
      </c>
      <c r="B1" s="1" t="inlineStr">
        <is>
          <t>Name</t>
        </is>
      </c>
      <c r="C1" s="6" t="inlineStr">
        <is>
          <t>TimKiem</t>
        </is>
      </c>
    </row>
    <row r="2">
      <c r="A2" t="n">
        <v>5083</v>
      </c>
      <c r="B2" t="inlineStr">
        <is>
          <t>Khám Theo Hợp Đồng</t>
        </is>
      </c>
      <c r="C2" t="inlineStr">
        <is>
          <t>KHAMTHEOHOPDONG</t>
        </is>
      </c>
    </row>
    <row r="3">
      <c r="A3" t="n">
        <v>5133</v>
      </c>
      <c r="B3" t="inlineStr">
        <is>
          <t>Tự Thực hiện</t>
        </is>
      </c>
      <c r="C3" t="inlineStr">
        <is>
          <t>TUTHUCHIEN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</cols>
  <sheetData>
    <row r="1" ht="36" customHeight="1">
      <c r="A1" s="1" t="inlineStr">
        <is>
          <t>Id</t>
        </is>
      </c>
      <c r="B1" s="1" t="inlineStr">
        <is>
          <t>Name</t>
        </is>
      </c>
    </row>
    <row r="2">
      <c r="A2" t="n">
        <v>262</v>
      </c>
      <c r="B2" t="inlineStr">
        <is>
          <t>Nữ</t>
        </is>
      </c>
    </row>
    <row r="3">
      <c r="A3" t="n">
        <v>263</v>
      </c>
      <c r="B3" t="inlineStr">
        <is>
          <t>Nam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78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28" customWidth="1" min="3" max="3"/>
  </cols>
  <sheetData>
    <row r="1" ht="36" customHeight="1">
      <c r="A1" s="1" t="inlineStr">
        <is>
          <t>Id</t>
        </is>
      </c>
      <c r="B1" s="1" t="inlineStr">
        <is>
          <t>Name</t>
        </is>
      </c>
      <c r="C1" s="6" t="inlineStr">
        <is>
          <t>TimKiem</t>
        </is>
      </c>
    </row>
    <row r="2">
      <c r="A2" t="n">
        <v>15</v>
      </c>
      <c r="B2" t="inlineStr">
        <is>
          <t>Kinh</t>
        </is>
      </c>
      <c r="C2" t="inlineStr">
        <is>
          <t>KINH</t>
        </is>
      </c>
    </row>
    <row r="3">
      <c r="A3" t="n">
        <v>16</v>
      </c>
      <c r="B3" t="inlineStr">
        <is>
          <t>Tày</t>
        </is>
      </c>
      <c r="C3" t="inlineStr">
        <is>
          <t>TAY</t>
        </is>
      </c>
    </row>
    <row r="4">
      <c r="A4" t="n">
        <v>17</v>
      </c>
      <c r="B4" t="inlineStr">
        <is>
          <t>Thái</t>
        </is>
      </c>
      <c r="C4" t="inlineStr">
        <is>
          <t>THAI</t>
        </is>
      </c>
    </row>
    <row r="5">
      <c r="A5" t="n">
        <v>18</v>
      </c>
      <c r="B5" t="inlineStr">
        <is>
          <t>Hoa</t>
        </is>
      </c>
      <c r="C5" t="inlineStr">
        <is>
          <t>HOA</t>
        </is>
      </c>
    </row>
    <row r="6">
      <c r="A6" t="n">
        <v>19</v>
      </c>
      <c r="B6" t="inlineStr">
        <is>
          <t>Khme</t>
        </is>
      </c>
      <c r="C6" t="inlineStr">
        <is>
          <t>KHME</t>
        </is>
      </c>
    </row>
    <row r="7">
      <c r="A7" t="n">
        <v>20</v>
      </c>
      <c r="B7" t="inlineStr">
        <is>
          <t>Mường</t>
        </is>
      </c>
      <c r="C7" t="inlineStr">
        <is>
          <t>MUONG</t>
        </is>
      </c>
    </row>
    <row r="8">
      <c r="A8" t="n">
        <v>21</v>
      </c>
      <c r="B8" t="inlineStr">
        <is>
          <t>Nùng</t>
        </is>
      </c>
      <c r="C8" t="inlineStr">
        <is>
          <t>NUNG</t>
        </is>
      </c>
    </row>
    <row r="9">
      <c r="A9" t="n">
        <v>22</v>
      </c>
      <c r="B9" t="inlineStr">
        <is>
          <t>Hán</t>
        </is>
      </c>
      <c r="C9" t="inlineStr">
        <is>
          <t>HAN</t>
        </is>
      </c>
    </row>
    <row r="10">
      <c r="A10" t="n">
        <v>23</v>
      </c>
      <c r="B10" t="inlineStr">
        <is>
          <t>Dao</t>
        </is>
      </c>
      <c r="C10" t="inlineStr">
        <is>
          <t>DAO</t>
        </is>
      </c>
    </row>
    <row r="11">
      <c r="A11" t="n">
        <v>24</v>
      </c>
      <c r="B11" t="inlineStr">
        <is>
          <t>Gia rai</t>
        </is>
      </c>
      <c r="C11" t="inlineStr">
        <is>
          <t>GIARAI</t>
        </is>
      </c>
    </row>
    <row r="12">
      <c r="A12" t="n">
        <v>25</v>
      </c>
      <c r="B12" t="inlineStr">
        <is>
          <t>Cao lan</t>
        </is>
      </c>
      <c r="C12" t="inlineStr">
        <is>
          <t>CAOLAN</t>
        </is>
      </c>
    </row>
    <row r="13">
      <c r="A13" t="n">
        <v>26</v>
      </c>
      <c r="B13" t="inlineStr">
        <is>
          <t>Ê đê</t>
        </is>
      </c>
      <c r="C13" t="inlineStr">
        <is>
          <t>EDE</t>
        </is>
      </c>
    </row>
    <row r="14">
      <c r="A14" t="n">
        <v>27</v>
      </c>
      <c r="B14" t="inlineStr">
        <is>
          <t>Ba na</t>
        </is>
      </c>
      <c r="C14" t="inlineStr">
        <is>
          <t>BANA</t>
        </is>
      </c>
    </row>
    <row r="15">
      <c r="A15" t="n">
        <v>28</v>
      </c>
      <c r="B15" t="inlineStr">
        <is>
          <t>Xơ đăng</t>
        </is>
      </c>
      <c r="C15" t="inlineStr">
        <is>
          <t>XODANG</t>
        </is>
      </c>
    </row>
    <row r="16">
      <c r="A16" t="n">
        <v>29</v>
      </c>
      <c r="B16" t="inlineStr">
        <is>
          <t>Sán Chay</t>
        </is>
      </c>
      <c r="C16" t="inlineStr">
        <is>
          <t>SANCHAY</t>
        </is>
      </c>
    </row>
    <row r="17">
      <c r="A17" t="n">
        <v>30</v>
      </c>
      <c r="B17" t="inlineStr">
        <is>
          <t>Cơ ho</t>
        </is>
      </c>
      <c r="C17" t="inlineStr">
        <is>
          <t>COHO</t>
        </is>
      </c>
    </row>
    <row r="18">
      <c r="A18" t="n">
        <v>31</v>
      </c>
      <c r="B18" t="inlineStr">
        <is>
          <t>Chăm</t>
        </is>
      </c>
      <c r="C18" t="inlineStr">
        <is>
          <t>CHAM</t>
        </is>
      </c>
    </row>
    <row r="19">
      <c r="A19" t="n">
        <v>32</v>
      </c>
      <c r="B19" t="inlineStr">
        <is>
          <t>Sán chỉ</t>
        </is>
      </c>
      <c r="C19" t="inlineStr">
        <is>
          <t>SANCHI</t>
        </is>
      </c>
    </row>
    <row r="20">
      <c r="A20" t="n">
        <v>33</v>
      </c>
      <c r="B20" t="inlineStr">
        <is>
          <t>Hrê</t>
        </is>
      </c>
      <c r="C20" t="inlineStr">
        <is>
          <t>HRE</t>
        </is>
      </c>
    </row>
    <row r="21">
      <c r="A21" t="n">
        <v>34</v>
      </c>
      <c r="B21" t="inlineStr">
        <is>
          <t>M nông</t>
        </is>
      </c>
      <c r="C21" t="inlineStr">
        <is>
          <t>MNONG</t>
        </is>
      </c>
    </row>
    <row r="22">
      <c r="A22" t="n">
        <v>35</v>
      </c>
      <c r="B22" t="inlineStr">
        <is>
          <t>Raglai</t>
        </is>
      </c>
      <c r="C22" t="inlineStr">
        <is>
          <t>RAGLAI</t>
        </is>
      </c>
    </row>
    <row r="23">
      <c r="A23" t="n">
        <v>36</v>
      </c>
      <c r="B23" t="inlineStr">
        <is>
          <t>Xtiêng</t>
        </is>
      </c>
      <c r="C23" t="inlineStr">
        <is>
          <t>XTIENG</t>
        </is>
      </c>
    </row>
    <row r="24">
      <c r="A24" t="n">
        <v>37</v>
      </c>
      <c r="B24" t="inlineStr">
        <is>
          <t>Bru (Khùa)</t>
        </is>
      </c>
      <c r="C24" t="inlineStr">
        <is>
          <t>BRU(KHUA)</t>
        </is>
      </c>
    </row>
    <row r="25">
      <c r="A25" t="n">
        <v>38</v>
      </c>
      <c r="B25" t="inlineStr">
        <is>
          <t>Thổ</t>
        </is>
      </c>
      <c r="C25" t="inlineStr">
        <is>
          <t>THO</t>
        </is>
      </c>
    </row>
    <row r="26">
      <c r="A26" t="n">
        <v>39</v>
      </c>
      <c r="B26" t="inlineStr">
        <is>
          <t>Giấy</t>
        </is>
      </c>
      <c r="C26" t="inlineStr">
        <is>
          <t>GIAY</t>
        </is>
      </c>
    </row>
    <row r="27">
      <c r="A27" t="n">
        <v>40</v>
      </c>
      <c r="B27" t="inlineStr">
        <is>
          <t>Cơ Tu</t>
        </is>
      </c>
      <c r="C27" t="inlineStr">
        <is>
          <t>COTU</t>
        </is>
      </c>
    </row>
    <row r="28">
      <c r="A28" t="n">
        <v>41</v>
      </c>
      <c r="B28" t="inlineStr">
        <is>
          <t>Giẻ Triêng</t>
        </is>
      </c>
      <c r="C28" t="inlineStr">
        <is>
          <t>GIETRIENG</t>
        </is>
      </c>
    </row>
    <row r="29">
      <c r="A29" t="n">
        <v>42</v>
      </c>
      <c r="B29" t="inlineStr">
        <is>
          <t>Mạ</t>
        </is>
      </c>
      <c r="C29" t="inlineStr">
        <is>
          <t>MA</t>
        </is>
      </c>
    </row>
    <row r="30">
      <c r="A30" t="n">
        <v>43</v>
      </c>
      <c r="B30" t="inlineStr">
        <is>
          <t>Khơ mú</t>
        </is>
      </c>
      <c r="C30" t="inlineStr">
        <is>
          <t>KHOMU</t>
        </is>
      </c>
    </row>
    <row r="31">
      <c r="A31" t="n">
        <v>44</v>
      </c>
      <c r="B31" t="inlineStr">
        <is>
          <t>Co (Cùa)</t>
        </is>
      </c>
      <c r="C31" t="inlineStr">
        <is>
          <t>CO(CUA)</t>
        </is>
      </c>
    </row>
    <row r="32">
      <c r="A32" t="n">
        <v>45</v>
      </c>
      <c r="B32" t="inlineStr">
        <is>
          <t>Tà ôi</t>
        </is>
      </c>
      <c r="C32" t="inlineStr">
        <is>
          <t>TAOI</t>
        </is>
      </c>
    </row>
    <row r="33">
      <c r="A33" t="n">
        <v>46</v>
      </c>
      <c r="B33" t="inlineStr">
        <is>
          <t>Chơ-ro</t>
        </is>
      </c>
      <c r="C33" t="inlineStr">
        <is>
          <t>CHO-RO</t>
        </is>
      </c>
    </row>
    <row r="34">
      <c r="A34" t="n">
        <v>47</v>
      </c>
      <c r="B34" t="inlineStr">
        <is>
          <t>Kháng</t>
        </is>
      </c>
      <c r="C34" t="inlineStr">
        <is>
          <t>KHANG</t>
        </is>
      </c>
    </row>
    <row r="35">
      <c r="A35" t="n">
        <v>48</v>
      </c>
      <c r="B35" t="inlineStr">
        <is>
          <t>Xinh mun</t>
        </is>
      </c>
      <c r="C35" t="inlineStr">
        <is>
          <t>XINHMUN</t>
        </is>
      </c>
    </row>
    <row r="36">
      <c r="A36" t="n">
        <v>49</v>
      </c>
      <c r="B36" t="inlineStr">
        <is>
          <t>Hà nhì</t>
        </is>
      </c>
      <c r="C36" t="inlineStr">
        <is>
          <t>HANHI</t>
        </is>
      </c>
    </row>
    <row r="37">
      <c r="A37" t="n">
        <v>50</v>
      </c>
      <c r="B37" t="inlineStr">
        <is>
          <t>Chu ru</t>
        </is>
      </c>
      <c r="C37" t="inlineStr">
        <is>
          <t>CHURU</t>
        </is>
      </c>
    </row>
    <row r="38">
      <c r="A38" t="n">
        <v>51</v>
      </c>
      <c r="B38" t="inlineStr">
        <is>
          <t>Lào</t>
        </is>
      </c>
      <c r="C38" t="inlineStr">
        <is>
          <t>LAO</t>
        </is>
      </c>
    </row>
    <row r="39">
      <c r="A39" t="n">
        <v>52</v>
      </c>
      <c r="B39" t="inlineStr">
        <is>
          <t>La chí</t>
        </is>
      </c>
      <c r="C39" t="inlineStr">
        <is>
          <t>LACHI</t>
        </is>
      </c>
    </row>
    <row r="40">
      <c r="A40" t="n">
        <v>53</v>
      </c>
      <c r="B40" t="inlineStr">
        <is>
          <t>La ha</t>
        </is>
      </c>
      <c r="C40" t="inlineStr">
        <is>
          <t>LAHA</t>
        </is>
      </c>
    </row>
    <row r="41">
      <c r="A41" t="n">
        <v>54</v>
      </c>
      <c r="B41" t="inlineStr">
        <is>
          <t>Phù lá</t>
        </is>
      </c>
      <c r="C41" t="inlineStr">
        <is>
          <t>PHULA</t>
        </is>
      </c>
    </row>
    <row r="42">
      <c r="A42" t="n">
        <v>55</v>
      </c>
      <c r="B42" t="inlineStr">
        <is>
          <t>La hụ</t>
        </is>
      </c>
      <c r="C42" t="inlineStr">
        <is>
          <t>LAHU</t>
        </is>
      </c>
    </row>
    <row r="43">
      <c r="A43" t="n">
        <v>56</v>
      </c>
      <c r="B43" t="inlineStr">
        <is>
          <t>Lự</t>
        </is>
      </c>
      <c r="C43" t="inlineStr">
        <is>
          <t>LU</t>
        </is>
      </c>
    </row>
    <row r="44">
      <c r="A44" t="n">
        <v>57</v>
      </c>
      <c r="B44" t="inlineStr">
        <is>
          <t>Lô Lô</t>
        </is>
      </c>
      <c r="C44" t="inlineStr">
        <is>
          <t>LOLO</t>
        </is>
      </c>
    </row>
    <row r="45">
      <c r="A45" t="n">
        <v>58</v>
      </c>
      <c r="B45" t="inlineStr">
        <is>
          <t>Cà Doòng</t>
        </is>
      </c>
      <c r="C45" t="inlineStr">
        <is>
          <t>CADOONG</t>
        </is>
      </c>
    </row>
    <row r="46">
      <c r="A46" t="n">
        <v>59</v>
      </c>
      <c r="B46" t="inlineStr">
        <is>
          <t>Mảng</t>
        </is>
      </c>
      <c r="C46" t="inlineStr">
        <is>
          <t>MANG</t>
        </is>
      </c>
    </row>
    <row r="47">
      <c r="A47" t="n">
        <v>60</v>
      </c>
      <c r="B47" t="inlineStr">
        <is>
          <t>Pà thẻn</t>
        </is>
      </c>
      <c r="C47" t="inlineStr">
        <is>
          <t>PATHEN</t>
        </is>
      </c>
    </row>
    <row r="48">
      <c r="A48" t="n">
        <v>61</v>
      </c>
      <c r="B48" t="inlineStr">
        <is>
          <t>Cờ lao</t>
        </is>
      </c>
      <c r="C48" t="inlineStr">
        <is>
          <t>COLAO</t>
        </is>
      </c>
    </row>
    <row r="49">
      <c r="A49" t="n">
        <v>62</v>
      </c>
      <c r="B49" t="inlineStr">
        <is>
          <t>Cống</t>
        </is>
      </c>
      <c r="C49" t="inlineStr">
        <is>
          <t>CONG</t>
        </is>
      </c>
    </row>
    <row r="50">
      <c r="A50" t="n">
        <v>63</v>
      </c>
      <c r="B50" t="inlineStr">
        <is>
          <t>Bố Y</t>
        </is>
      </c>
      <c r="C50" t="inlineStr">
        <is>
          <t>BOY</t>
        </is>
      </c>
    </row>
    <row r="51">
      <c r="A51" t="n">
        <v>64</v>
      </c>
      <c r="B51" t="inlineStr">
        <is>
          <t>Si la</t>
        </is>
      </c>
      <c r="C51" t="inlineStr">
        <is>
          <t>SILA</t>
        </is>
      </c>
    </row>
    <row r="52">
      <c r="A52" t="n">
        <v>65</v>
      </c>
      <c r="B52" t="inlineStr">
        <is>
          <t>Pu piéo</t>
        </is>
      </c>
      <c r="C52" t="inlineStr">
        <is>
          <t>PUPIEO</t>
        </is>
      </c>
    </row>
    <row r="53">
      <c r="A53" t="n">
        <v>66</v>
      </c>
      <c r="B53" t="inlineStr">
        <is>
          <t>Brâu</t>
        </is>
      </c>
      <c r="C53" t="inlineStr">
        <is>
          <t>BRAU</t>
        </is>
      </c>
    </row>
    <row r="54">
      <c r="A54" t="n">
        <v>67</v>
      </c>
      <c r="B54" t="inlineStr">
        <is>
          <t>Ơ đu</t>
        </is>
      </c>
      <c r="C54" t="inlineStr">
        <is>
          <t>ODU</t>
        </is>
      </c>
    </row>
    <row r="55">
      <c r="A55" t="n">
        <v>68</v>
      </c>
      <c r="B55" t="inlineStr">
        <is>
          <t>Rơ măm</t>
        </is>
      </c>
      <c r="C55" t="inlineStr">
        <is>
          <t>ROMAM</t>
        </is>
      </c>
    </row>
    <row r="56">
      <c r="A56" t="n">
        <v>1017</v>
      </c>
      <c r="B56" t="inlineStr">
        <is>
          <t>Tày Poọng</t>
        </is>
      </c>
      <c r="C56" t="inlineStr">
        <is>
          <t>TAYPOONG</t>
        </is>
      </c>
    </row>
    <row r="57">
      <c r="A57" t="n">
        <v>1018</v>
      </c>
      <c r="B57" t="inlineStr">
        <is>
          <t>Thù lao</t>
        </is>
      </c>
      <c r="C57" t="inlineStr">
        <is>
          <t>THULAO</t>
        </is>
      </c>
    </row>
    <row r="58">
      <c r="A58" t="n">
        <v>1019</v>
      </c>
      <c r="B58" t="inlineStr">
        <is>
          <t>Pa dí</t>
        </is>
      </c>
      <c r="C58" t="inlineStr">
        <is>
          <t>PADI</t>
        </is>
      </c>
    </row>
    <row r="59">
      <c r="A59" t="n">
        <v>1020</v>
      </c>
      <c r="B59" t="inlineStr">
        <is>
          <t>Cao lan</t>
        </is>
      </c>
      <c r="C59" t="inlineStr">
        <is>
          <t>CAOLAN</t>
        </is>
      </c>
    </row>
    <row r="60">
      <c r="A60" t="n">
        <v>1021</v>
      </c>
      <c r="B60" t="inlineStr">
        <is>
          <t>Quý châu(Pu nà)</t>
        </is>
      </c>
      <c r="C60" t="inlineStr">
        <is>
          <t>QUYCHAU(PUNA)</t>
        </is>
      </c>
    </row>
    <row r="61">
      <c r="A61" t="n">
        <v>1022</v>
      </c>
      <c r="B61" t="inlineStr">
        <is>
          <t>Thuỷ</t>
        </is>
      </c>
      <c r="C61" t="inlineStr">
        <is>
          <t>THUY</t>
        </is>
      </c>
    </row>
    <row r="62">
      <c r="A62" t="n">
        <v>1023</v>
      </c>
      <c r="B62" t="inlineStr">
        <is>
          <t>Vân kiều</t>
        </is>
      </c>
      <c r="C62" t="inlineStr">
        <is>
          <t>VANKIEU</t>
        </is>
      </c>
    </row>
    <row r="63">
      <c r="A63" t="n">
        <v>1024</v>
      </c>
      <c r="B63" t="inlineStr">
        <is>
          <t>Pa cô</t>
        </is>
      </c>
      <c r="C63" t="inlineStr">
        <is>
          <t>PACO</t>
        </is>
      </c>
    </row>
    <row r="64">
      <c r="A64" t="n">
        <v>1025</v>
      </c>
      <c r="B64" t="inlineStr">
        <is>
          <t>Ba hy</t>
        </is>
      </c>
      <c r="C64" t="inlineStr">
        <is>
          <t>BAHY</t>
        </is>
      </c>
    </row>
    <row r="65">
      <c r="A65" t="n">
        <v>1026</v>
      </c>
      <c r="B65" t="inlineStr">
        <is>
          <t>Tù riềng</t>
        </is>
      </c>
      <c r="C65" t="inlineStr">
        <is>
          <t>TURIENG</t>
        </is>
      </c>
    </row>
    <row r="66">
      <c r="A66" t="n">
        <v>1027</v>
      </c>
      <c r="B66" t="inlineStr">
        <is>
          <t>Hà lăng</t>
        </is>
      </c>
      <c r="C66" t="inlineStr">
        <is>
          <t>HALANG</t>
        </is>
      </c>
    </row>
    <row r="67">
      <c r="A67" t="n">
        <v>1028</v>
      </c>
      <c r="B67" t="inlineStr">
        <is>
          <t>Treng</t>
        </is>
      </c>
      <c r="C67" t="inlineStr">
        <is>
          <t>TRENG</t>
        </is>
      </c>
    </row>
    <row r="68">
      <c r="A68" t="n">
        <v>1029</v>
      </c>
      <c r="B68" t="inlineStr">
        <is>
          <t>Xil (Chil)</t>
        </is>
      </c>
      <c r="C68" t="inlineStr">
        <is>
          <t>XIL(CHIL)</t>
        </is>
      </c>
    </row>
    <row r="69">
      <c r="A69" t="n">
        <v>1031</v>
      </c>
      <c r="B69" t="inlineStr">
        <is>
          <t>Hroi</t>
        </is>
      </c>
      <c r="C69" t="inlineStr">
        <is>
          <t>HROI</t>
        </is>
      </c>
    </row>
    <row r="70">
      <c r="A70" t="n">
        <v>1032</v>
      </c>
      <c r="B70" t="inlineStr">
        <is>
          <t>Tu dí</t>
        </is>
      </c>
      <c r="C70" t="inlineStr">
        <is>
          <t>TUDI</t>
        </is>
      </c>
    </row>
    <row r="71">
      <c r="A71" t="n">
        <v>1033</v>
      </c>
      <c r="B71" t="inlineStr">
        <is>
          <t>Nước ngoài</t>
        </is>
      </c>
      <c r="C71" t="inlineStr">
        <is>
          <t>NUOCNGOAI</t>
        </is>
      </c>
    </row>
    <row r="72">
      <c r="A72" t="n">
        <v>1034</v>
      </c>
      <c r="B72" t="inlineStr">
        <is>
          <t>Kor</t>
        </is>
      </c>
      <c r="C72" t="inlineStr">
        <is>
          <t>KOR</t>
        </is>
      </c>
    </row>
    <row r="73">
      <c r="A73" t="n">
        <v>1035</v>
      </c>
      <c r="B73" t="inlineStr">
        <is>
          <t>Chứt</t>
        </is>
      </c>
      <c r="C73" t="inlineStr">
        <is>
          <t>CHUT</t>
        </is>
      </c>
    </row>
    <row r="74">
      <c r="A74" t="n">
        <v>1036</v>
      </c>
      <c r="B74" t="inlineStr">
        <is>
          <t>Krê</t>
        </is>
      </c>
      <c r="C74" t="inlineStr">
        <is>
          <t>KRE</t>
        </is>
      </c>
    </row>
    <row r="75">
      <c r="A75" t="n">
        <v>1037</v>
      </c>
      <c r="B75" t="inlineStr">
        <is>
          <t>Mông</t>
        </is>
      </c>
      <c r="C75" t="inlineStr">
        <is>
          <t>MONG</t>
        </is>
      </c>
    </row>
    <row r="76">
      <c r="A76" t="n">
        <v>1038</v>
      </c>
      <c r="B76" t="inlineStr">
        <is>
          <t>Sán dìu</t>
        </is>
      </c>
      <c r="C76" t="inlineStr">
        <is>
          <t>SANDIU</t>
        </is>
      </c>
    </row>
    <row r="77">
      <c r="A77" t="n">
        <v>1039</v>
      </c>
      <c r="B77" t="inlineStr">
        <is>
          <t>Ve</t>
        </is>
      </c>
      <c r="C77" t="inlineStr">
        <is>
          <t>VE</t>
        </is>
      </c>
    </row>
    <row r="78">
      <c r="A78" t="n">
        <v>1040</v>
      </c>
      <c r="B78" t="inlineStr">
        <is>
          <t>Khác trong nước</t>
        </is>
      </c>
      <c r="C78" t="inlineStr">
        <is>
          <t>KHACTRONGNUOC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</cols>
  <sheetData>
    <row r="1" ht="36" customHeight="1">
      <c r="A1" s="1" t="inlineStr">
        <is>
          <t>Id</t>
        </is>
      </c>
      <c r="B1" s="1" t="inlineStr">
        <is>
          <t>Name</t>
        </is>
      </c>
    </row>
    <row r="2">
      <c r="A2" t="n">
        <v>1</v>
      </c>
      <c r="B2" t="inlineStr">
        <is>
          <t>A</t>
        </is>
      </c>
    </row>
    <row r="3">
      <c r="A3" t="n">
        <v>2</v>
      </c>
      <c r="B3" t="inlineStr">
        <is>
          <t>B</t>
        </is>
      </c>
    </row>
    <row r="4">
      <c r="A4" t="n">
        <v>3</v>
      </c>
      <c r="B4" t="inlineStr">
        <is>
          <t>O</t>
        </is>
      </c>
    </row>
    <row r="5">
      <c r="A5" t="n">
        <v>4</v>
      </c>
      <c r="B5" t="inlineStr">
        <is>
          <t>AB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</cols>
  <sheetData>
    <row r="1" ht="36" customHeight="1">
      <c r="A1" s="1" t="inlineStr">
        <is>
          <t>Id</t>
        </is>
      </c>
      <c r="B1" s="1" t="inlineStr">
        <is>
          <t>Name</t>
        </is>
      </c>
    </row>
    <row r="2">
      <c r="A2" t="n">
        <v>1</v>
      </c>
      <c r="B2" t="inlineStr">
        <is>
          <t>Rh-</t>
        </is>
      </c>
    </row>
    <row r="3">
      <c r="A3" t="n">
        <v>2</v>
      </c>
      <c r="B3" t="inlineStr">
        <is>
          <t>Rh+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28" customWidth="1" min="3" max="3"/>
  </cols>
  <sheetData>
    <row r="1" ht="36" customHeight="1">
      <c r="A1" s="1" t="inlineStr">
        <is>
          <t>Id</t>
        </is>
      </c>
      <c r="B1" s="1" t="inlineStr">
        <is>
          <t>Name</t>
        </is>
      </c>
      <c r="C1" s="6" t="inlineStr">
        <is>
          <t>TimKiem</t>
        </is>
      </c>
    </row>
    <row r="2">
      <c r="A2" t="n">
        <v>1</v>
      </c>
      <c r="B2" t="inlineStr">
        <is>
          <t>Thành phố Hà Nội</t>
        </is>
      </c>
      <c r="C2" t="inlineStr">
        <is>
          <t>THANHPHOHANOI</t>
        </is>
      </c>
    </row>
    <row r="3">
      <c r="A3" t="n">
        <v>3</v>
      </c>
      <c r="B3" t="inlineStr">
        <is>
          <t>Tỉnh Cao Bằng</t>
        </is>
      </c>
      <c r="C3" t="inlineStr">
        <is>
          <t>TINHCAOBANG</t>
        </is>
      </c>
    </row>
    <row r="4">
      <c r="A4" t="n">
        <v>5</v>
      </c>
      <c r="B4" t="inlineStr">
        <is>
          <t>Tỉnh Tuyên Quang</t>
        </is>
      </c>
      <c r="C4" t="inlineStr">
        <is>
          <t>TINHTUYENQUANG</t>
        </is>
      </c>
    </row>
    <row r="5">
      <c r="A5" t="n">
        <v>6</v>
      </c>
      <c r="B5" t="inlineStr">
        <is>
          <t>Tỉnh Lào Cai</t>
        </is>
      </c>
      <c r="C5" t="inlineStr">
        <is>
          <t>TINHLAOCAI</t>
        </is>
      </c>
    </row>
    <row r="6">
      <c r="A6" t="n">
        <v>7</v>
      </c>
      <c r="B6" t="inlineStr">
        <is>
          <t>Tỉnh Điện Biên</t>
        </is>
      </c>
      <c r="C6" t="inlineStr">
        <is>
          <t>TINHDIENBIEN</t>
        </is>
      </c>
    </row>
    <row r="7">
      <c r="A7" t="n">
        <v>8</v>
      </c>
      <c r="B7" t="inlineStr">
        <is>
          <t>Tỉnh Lai Châu</t>
        </is>
      </c>
      <c r="C7" t="inlineStr">
        <is>
          <t>TINHLAICHAU</t>
        </is>
      </c>
    </row>
    <row r="8">
      <c r="A8" t="n">
        <v>9</v>
      </c>
      <c r="B8" t="inlineStr">
        <is>
          <t>Tỉnh Sơn La</t>
        </is>
      </c>
      <c r="C8" t="inlineStr">
        <is>
          <t>TINHSONLA</t>
        </is>
      </c>
    </row>
    <row r="9">
      <c r="A9" t="n">
        <v>12</v>
      </c>
      <c r="B9" t="inlineStr">
        <is>
          <t>Tỉnh Thái Nguyên</t>
        </is>
      </c>
      <c r="C9" t="inlineStr">
        <is>
          <t>TINHTHAINGUYEN</t>
        </is>
      </c>
    </row>
    <row r="10">
      <c r="A10" t="n">
        <v>13</v>
      </c>
      <c r="B10" t="inlineStr">
        <is>
          <t>Tỉnh Lạng Sơn</t>
        </is>
      </c>
      <c r="C10" t="inlineStr">
        <is>
          <t>TINHLANGSON</t>
        </is>
      </c>
    </row>
    <row r="11">
      <c r="A11" t="n">
        <v>14</v>
      </c>
      <c r="B11" t="inlineStr">
        <is>
          <t>Tỉnh Quảng Ninh</t>
        </is>
      </c>
      <c r="C11" t="inlineStr">
        <is>
          <t>TINHQUANGNINH</t>
        </is>
      </c>
    </row>
    <row r="12">
      <c r="A12" t="n">
        <v>16</v>
      </c>
      <c r="B12" t="inlineStr">
        <is>
          <t>Tỉnh Phú Thọ</t>
        </is>
      </c>
      <c r="C12" t="inlineStr">
        <is>
          <t>TINHPHUTHO</t>
        </is>
      </c>
    </row>
    <row r="13">
      <c r="A13" t="n">
        <v>18</v>
      </c>
      <c r="B13" t="inlineStr">
        <is>
          <t>Tỉnh Bắc Ninh</t>
        </is>
      </c>
      <c r="C13" t="inlineStr">
        <is>
          <t>TINHBACNINH</t>
        </is>
      </c>
    </row>
    <row r="14">
      <c r="A14" t="n">
        <v>20</v>
      </c>
      <c r="B14" t="inlineStr">
        <is>
          <t>Thành phố Hải Phòng</t>
        </is>
      </c>
      <c r="C14" t="inlineStr">
        <is>
          <t>THANHPHOHAIPHONG</t>
        </is>
      </c>
    </row>
    <row r="15">
      <c r="A15" t="n">
        <v>21</v>
      </c>
      <c r="B15" t="inlineStr">
        <is>
          <t>Tỉnh Hưng Yên</t>
        </is>
      </c>
      <c r="C15" t="inlineStr">
        <is>
          <t>TINHHUNGYEN</t>
        </is>
      </c>
    </row>
    <row r="16">
      <c r="A16" t="n">
        <v>25</v>
      </c>
      <c r="B16" t="inlineStr">
        <is>
          <t>Tỉnh Ninh Bình</t>
        </is>
      </c>
      <c r="C16" t="inlineStr">
        <is>
          <t>TINHNINHBINH</t>
        </is>
      </c>
    </row>
    <row r="17">
      <c r="A17" t="n">
        <v>26</v>
      </c>
      <c r="B17" t="inlineStr">
        <is>
          <t>Tỉnh Thanh Hóa</t>
        </is>
      </c>
      <c r="C17" t="inlineStr">
        <is>
          <t>TINHTHANHHOA</t>
        </is>
      </c>
    </row>
    <row r="18">
      <c r="A18" t="n">
        <v>27</v>
      </c>
      <c r="B18" t="inlineStr">
        <is>
          <t>Tỉnh Nghệ An</t>
        </is>
      </c>
      <c r="C18" t="inlineStr">
        <is>
          <t>TINHNGHEAN</t>
        </is>
      </c>
    </row>
    <row r="19">
      <c r="A19" t="n">
        <v>28</v>
      </c>
      <c r="B19" t="inlineStr">
        <is>
          <t>Tỉnh Hà Tĩnh</t>
        </is>
      </c>
      <c r="C19" t="inlineStr">
        <is>
          <t>TINHHATINH</t>
        </is>
      </c>
    </row>
    <row r="20">
      <c r="A20" t="n">
        <v>30</v>
      </c>
      <c r="B20" t="inlineStr">
        <is>
          <t>Tỉnh Quảng Trị</t>
        </is>
      </c>
      <c r="C20" t="inlineStr">
        <is>
          <t>TINHQUANGTRI</t>
        </is>
      </c>
    </row>
    <row r="21">
      <c r="A21" t="n">
        <v>31</v>
      </c>
      <c r="B21" t="inlineStr">
        <is>
          <t>Thành phố Huế</t>
        </is>
      </c>
      <c r="C21" t="inlineStr">
        <is>
          <t>THANHPHOHUE</t>
        </is>
      </c>
    </row>
    <row r="22">
      <c r="A22" t="n">
        <v>32</v>
      </c>
      <c r="B22" t="inlineStr">
        <is>
          <t>Thành phố Đà Nẵng</t>
        </is>
      </c>
      <c r="C22" t="inlineStr">
        <is>
          <t>THANHPHODANANG</t>
        </is>
      </c>
    </row>
    <row r="23">
      <c r="A23" t="n">
        <v>34</v>
      </c>
      <c r="B23" t="inlineStr">
        <is>
          <t>Tỉnh Quảng Ngãi</t>
        </is>
      </c>
      <c r="C23" t="inlineStr">
        <is>
          <t>TINHQUANGNGAI</t>
        </is>
      </c>
    </row>
    <row r="24">
      <c r="A24" t="n">
        <v>37</v>
      </c>
      <c r="B24" t="inlineStr">
        <is>
          <t>Tỉnh Khánh Hòa</t>
        </is>
      </c>
      <c r="C24" t="inlineStr">
        <is>
          <t>TINHKHANHHOA</t>
        </is>
      </c>
    </row>
    <row r="25">
      <c r="A25" t="n">
        <v>41</v>
      </c>
      <c r="B25" t="inlineStr">
        <is>
          <t>Tỉnh Gia Lai</t>
        </is>
      </c>
      <c r="C25" t="inlineStr">
        <is>
          <t>TINHGIALAI</t>
        </is>
      </c>
    </row>
    <row r="26">
      <c r="A26" t="n">
        <v>42</v>
      </c>
      <c r="B26" t="inlineStr">
        <is>
          <t>Tỉnh Đắk Lắk</t>
        </is>
      </c>
      <c r="C26" t="inlineStr">
        <is>
          <t>TINHDAKLAK</t>
        </is>
      </c>
    </row>
    <row r="27">
      <c r="A27" t="n">
        <v>44</v>
      </c>
      <c r="B27" t="inlineStr">
        <is>
          <t>Tỉnh Lâm Đồng</t>
        </is>
      </c>
      <c r="C27" t="inlineStr">
        <is>
          <t>TINHLAMDONG</t>
        </is>
      </c>
    </row>
    <row r="28">
      <c r="A28" t="n">
        <v>46</v>
      </c>
      <c r="B28" t="inlineStr">
        <is>
          <t>Tỉnh Tây Ninh</t>
        </is>
      </c>
      <c r="C28" t="inlineStr">
        <is>
          <t>TINHTAYNINH</t>
        </is>
      </c>
    </row>
    <row r="29">
      <c r="A29" t="n">
        <v>48</v>
      </c>
      <c r="B29" t="inlineStr">
        <is>
          <t>Tỉnh Đồng Nai</t>
        </is>
      </c>
      <c r="C29" t="inlineStr">
        <is>
          <t>TINHDONGNAI</t>
        </is>
      </c>
    </row>
    <row r="30">
      <c r="A30" t="n">
        <v>50</v>
      </c>
      <c r="B30" t="inlineStr">
        <is>
          <t>Thành Phố Hồ Chí Minh</t>
        </is>
      </c>
      <c r="C30" t="inlineStr">
        <is>
          <t>THANHPHOHOCHIMINH</t>
        </is>
      </c>
    </row>
    <row r="31">
      <c r="A31" t="n">
        <v>55</v>
      </c>
      <c r="B31" t="inlineStr">
        <is>
          <t>Tỉnh Vĩnh Long</t>
        </is>
      </c>
      <c r="C31" t="inlineStr">
        <is>
          <t>TINHVINHLONG</t>
        </is>
      </c>
    </row>
    <row r="32">
      <c r="A32" t="n">
        <v>56</v>
      </c>
      <c r="B32" t="inlineStr">
        <is>
          <t>Tỉnh Đồng Tháp</t>
        </is>
      </c>
      <c r="C32" t="inlineStr">
        <is>
          <t>TINHDONGTHAP</t>
        </is>
      </c>
    </row>
    <row r="33">
      <c r="A33" t="n">
        <v>57</v>
      </c>
      <c r="B33" t="inlineStr">
        <is>
          <t>Tỉnh An Giang</t>
        </is>
      </c>
      <c r="C33" t="inlineStr">
        <is>
          <t>TINHANGIANG</t>
        </is>
      </c>
    </row>
    <row r="34">
      <c r="A34" t="n">
        <v>59</v>
      </c>
      <c r="B34" t="inlineStr">
        <is>
          <t>Thành phố Cần Thơ</t>
        </is>
      </c>
      <c r="C34" t="inlineStr">
        <is>
          <t>THANHPHOCANTHO</t>
        </is>
      </c>
    </row>
    <row r="35">
      <c r="A35" t="n">
        <v>63</v>
      </c>
      <c r="B35" t="inlineStr">
        <is>
          <t>Tỉnh Cà Mau</t>
        </is>
      </c>
      <c r="C35" t="inlineStr">
        <is>
          <t>TINHCAMAU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69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28" customWidth="1" min="3" max="3"/>
  </cols>
  <sheetData>
    <row r="1" ht="36" customHeight="1">
      <c r="A1" s="1" t="inlineStr">
        <is>
          <t>Id</t>
        </is>
      </c>
      <c r="B1" s="1" t="inlineStr">
        <is>
          <t>Name</t>
        </is>
      </c>
      <c r="C1" s="6" t="inlineStr">
        <is>
          <t>TimKiem</t>
        </is>
      </c>
    </row>
    <row r="2">
      <c r="A2" t="n">
        <v>1</v>
      </c>
      <c r="B2" t="inlineStr">
        <is>
          <t>Phường Hiệp Bình</t>
        </is>
      </c>
      <c r="C2" t="inlineStr">
        <is>
          <t>PHUONGHIEPBINH</t>
        </is>
      </c>
    </row>
    <row r="3">
      <c r="A3" t="n">
        <v>2</v>
      </c>
      <c r="B3" t="inlineStr">
        <is>
          <t>Phường Tam Bình</t>
        </is>
      </c>
      <c r="C3" t="inlineStr">
        <is>
          <t>PHUONGTAMBINH</t>
        </is>
      </c>
    </row>
    <row r="4">
      <c r="A4" t="n">
        <v>3</v>
      </c>
      <c r="B4" t="inlineStr">
        <is>
          <t>Phường Thủ Đức</t>
        </is>
      </c>
      <c r="C4" t="inlineStr">
        <is>
          <t>PHUONGTHUDUC</t>
        </is>
      </c>
    </row>
    <row r="5">
      <c r="A5" t="n">
        <v>4</v>
      </c>
      <c r="B5" t="inlineStr">
        <is>
          <t>Phường Linh Xuân</t>
        </is>
      </c>
      <c r="C5" t="inlineStr">
        <is>
          <t>PHUONGLINHXUAN</t>
        </is>
      </c>
    </row>
    <row r="6">
      <c r="A6" t="n">
        <v>5</v>
      </c>
      <c r="B6" t="inlineStr">
        <is>
          <t>Phường Long Bình</t>
        </is>
      </c>
      <c r="C6" t="inlineStr">
        <is>
          <t>PHUONGLONGBINH</t>
        </is>
      </c>
    </row>
    <row r="7">
      <c r="A7" t="n">
        <v>6</v>
      </c>
      <c r="B7" t="inlineStr">
        <is>
          <t>Phường Tăng Nhơn Phú</t>
        </is>
      </c>
      <c r="C7" t="inlineStr">
        <is>
          <t>PHUONGTANGNHONPHU</t>
        </is>
      </c>
    </row>
    <row r="8">
      <c r="A8" t="n">
        <v>7</v>
      </c>
      <c r="B8" t="inlineStr">
        <is>
          <t>Phường Phước Long</t>
        </is>
      </c>
      <c r="C8" t="inlineStr">
        <is>
          <t>PHUONGPHUOCLONG</t>
        </is>
      </c>
    </row>
    <row r="9">
      <c r="A9" t="n">
        <v>8</v>
      </c>
      <c r="B9" t="inlineStr">
        <is>
          <t>Phường Long Phước</t>
        </is>
      </c>
      <c r="C9" t="inlineStr">
        <is>
          <t>PHUONGLONGPHUOC</t>
        </is>
      </c>
    </row>
    <row r="10">
      <c r="A10" t="n">
        <v>9</v>
      </c>
      <c r="B10" t="inlineStr">
        <is>
          <t>Phường Long Trường</t>
        </is>
      </c>
      <c r="C10" t="inlineStr">
        <is>
          <t>PHUONGLONGTRUONG</t>
        </is>
      </c>
    </row>
    <row r="11">
      <c r="A11" t="n">
        <v>10</v>
      </c>
      <c r="B11" t="inlineStr">
        <is>
          <t>Phường An Khánh</t>
        </is>
      </c>
      <c r="C11" t="inlineStr">
        <is>
          <t>PHUONGANKHANH</t>
        </is>
      </c>
    </row>
    <row r="12">
      <c r="A12" t="n">
        <v>11</v>
      </c>
      <c r="B12" t="inlineStr">
        <is>
          <t>Phường Bình Trưng</t>
        </is>
      </c>
      <c r="C12" t="inlineStr">
        <is>
          <t>PHUONGBINHTRUNG</t>
        </is>
      </c>
    </row>
    <row r="13">
      <c r="A13" t="n">
        <v>12</v>
      </c>
      <c r="B13" t="inlineStr">
        <is>
          <t>Phường Cát Lái</t>
        </is>
      </c>
      <c r="C13" t="inlineStr">
        <is>
          <t>PHUONGCATLAI</t>
        </is>
      </c>
    </row>
    <row r="14">
      <c r="A14" t="n">
        <v>13</v>
      </c>
      <c r="B14" t="inlineStr">
        <is>
          <t>Phường Tân Định</t>
        </is>
      </c>
      <c r="C14" t="inlineStr">
        <is>
          <t>PHUONGTANDINH</t>
        </is>
      </c>
    </row>
    <row r="15">
      <c r="A15" t="n">
        <v>14</v>
      </c>
      <c r="B15" t="inlineStr">
        <is>
          <t>Phường Sài Gòn</t>
        </is>
      </c>
      <c r="C15" t="inlineStr">
        <is>
          <t>PHUONGSAIGON</t>
        </is>
      </c>
    </row>
    <row r="16">
      <c r="A16" t="n">
        <v>15</v>
      </c>
      <c r="B16" t="inlineStr">
        <is>
          <t>Phường Bến Thành</t>
        </is>
      </c>
      <c r="C16" t="inlineStr">
        <is>
          <t>PHUONGBENTHANH</t>
        </is>
      </c>
    </row>
    <row r="17">
      <c r="A17" t="n">
        <v>16</v>
      </c>
      <c r="B17" t="inlineStr">
        <is>
          <t>Phường Cầu Ông Lãnh</t>
        </is>
      </c>
      <c r="C17" t="inlineStr">
        <is>
          <t>PHUONGCAUONGLANH</t>
        </is>
      </c>
    </row>
    <row r="18">
      <c r="A18" t="n">
        <v>17</v>
      </c>
      <c r="B18" t="inlineStr">
        <is>
          <t>Phường Xuân Hòa</t>
        </is>
      </c>
      <c r="C18" t="inlineStr">
        <is>
          <t>PHUONGXUANHOA</t>
        </is>
      </c>
    </row>
    <row r="19">
      <c r="A19" t="n">
        <v>18</v>
      </c>
      <c r="B19" t="inlineStr">
        <is>
          <t>Phường Bàn Cờ</t>
        </is>
      </c>
      <c r="C19" t="inlineStr">
        <is>
          <t>PHUONGBANCO</t>
        </is>
      </c>
    </row>
    <row r="20">
      <c r="A20" t="n">
        <v>19</v>
      </c>
      <c r="B20" t="inlineStr">
        <is>
          <t>Phường Nhiêu Lộc</t>
        </is>
      </c>
      <c r="C20" t="inlineStr">
        <is>
          <t>PHUONGNHIEULOC</t>
        </is>
      </c>
    </row>
    <row r="21">
      <c r="A21" t="n">
        <v>20</v>
      </c>
      <c r="B21" t="inlineStr">
        <is>
          <t>Phường Vĩnh Hội</t>
        </is>
      </c>
      <c r="C21" t="inlineStr">
        <is>
          <t>PHUONGVINHHOI</t>
        </is>
      </c>
    </row>
    <row r="22">
      <c r="A22" t="n">
        <v>21</v>
      </c>
      <c r="B22" t="inlineStr">
        <is>
          <t>Phường Khánh Hội</t>
        </is>
      </c>
      <c r="C22" t="inlineStr">
        <is>
          <t>PHUONGKHANHHOI</t>
        </is>
      </c>
    </row>
    <row r="23">
      <c r="A23" t="n">
        <v>22</v>
      </c>
      <c r="B23" t="inlineStr">
        <is>
          <t>Phường Xóm Chiếu</t>
        </is>
      </c>
      <c r="C23" t="inlineStr">
        <is>
          <t>PHUONGXOMCHIEU</t>
        </is>
      </c>
    </row>
    <row r="24">
      <c r="A24" t="n">
        <v>23</v>
      </c>
      <c r="B24" t="inlineStr">
        <is>
          <t>Phường Chợ Quán</t>
        </is>
      </c>
      <c r="C24" t="inlineStr">
        <is>
          <t>PHUONGCHOQUAN</t>
        </is>
      </c>
    </row>
    <row r="25">
      <c r="A25" t="n">
        <v>24</v>
      </c>
      <c r="B25" t="inlineStr">
        <is>
          <t>Phường An Đông</t>
        </is>
      </c>
      <c r="C25" t="inlineStr">
        <is>
          <t>PHUONGANDONG</t>
        </is>
      </c>
    </row>
    <row r="26">
      <c r="A26" t="n">
        <v>25</v>
      </c>
      <c r="B26" t="inlineStr">
        <is>
          <t>Phường Chợ Lớn</t>
        </is>
      </c>
      <c r="C26" t="inlineStr">
        <is>
          <t>PHUONGCHOLON</t>
        </is>
      </c>
    </row>
    <row r="27">
      <c r="A27" t="n">
        <v>26</v>
      </c>
      <c r="B27" t="inlineStr">
        <is>
          <t>Phường Bình Tiên</t>
        </is>
      </c>
      <c r="C27" t="inlineStr">
        <is>
          <t>PHUONGBINHTIEN</t>
        </is>
      </c>
    </row>
    <row r="28">
      <c r="A28" t="n">
        <v>27</v>
      </c>
      <c r="B28" t="inlineStr">
        <is>
          <t>Phường Bình Tây</t>
        </is>
      </c>
      <c r="C28" t="inlineStr">
        <is>
          <t>PHUONGBINHTAY</t>
        </is>
      </c>
    </row>
    <row r="29">
      <c r="A29" t="n">
        <v>28</v>
      </c>
      <c r="B29" t="inlineStr">
        <is>
          <t>Phường Bình Phú</t>
        </is>
      </c>
      <c r="C29" t="inlineStr">
        <is>
          <t>PHUONGBINHPHU</t>
        </is>
      </c>
    </row>
    <row r="30">
      <c r="A30" t="n">
        <v>29</v>
      </c>
      <c r="B30" t="inlineStr">
        <is>
          <t>Phường Phú Lâm</t>
        </is>
      </c>
      <c r="C30" t="inlineStr">
        <is>
          <t>PHUONGPHULAM</t>
        </is>
      </c>
    </row>
    <row r="31">
      <c r="A31" t="n">
        <v>30</v>
      </c>
      <c r="B31" t="inlineStr">
        <is>
          <t>Phường Tân Mỹ</t>
        </is>
      </c>
      <c r="C31" t="inlineStr">
        <is>
          <t>PHUONGTANMY</t>
        </is>
      </c>
    </row>
    <row r="32">
      <c r="A32" t="n">
        <v>31</v>
      </c>
      <c r="B32" t="inlineStr">
        <is>
          <t>Phường Tân Hưng</t>
        </is>
      </c>
      <c r="C32" t="inlineStr">
        <is>
          <t>PHUONGTANHUNG</t>
        </is>
      </c>
    </row>
    <row r="33">
      <c r="A33" t="n">
        <v>32</v>
      </c>
      <c r="B33" t="inlineStr">
        <is>
          <t>Phường Tân Thuận</t>
        </is>
      </c>
      <c r="C33" t="inlineStr">
        <is>
          <t>PHUONGTANTHUAN</t>
        </is>
      </c>
    </row>
    <row r="34">
      <c r="A34" t="n">
        <v>33</v>
      </c>
      <c r="B34" t="inlineStr">
        <is>
          <t xml:space="preserve">Phường Phú Thuận
</t>
        </is>
      </c>
      <c r="C34" t="inlineStr">
        <is>
          <t>PHUONGPHUTHUAN</t>
        </is>
      </c>
    </row>
    <row r="35">
      <c r="A35" t="n">
        <v>34</v>
      </c>
      <c r="B35" t="inlineStr">
        <is>
          <t>Phường Chánh Hưng</t>
        </is>
      </c>
      <c r="C35" t="inlineStr">
        <is>
          <t>PHUONGCHANHHUNG</t>
        </is>
      </c>
    </row>
    <row r="36">
      <c r="A36" t="n">
        <v>35</v>
      </c>
      <c r="B36" t="inlineStr">
        <is>
          <t>Phường Bình Đông</t>
        </is>
      </c>
      <c r="C36" t="inlineStr">
        <is>
          <t>PHUONGBINHDONG</t>
        </is>
      </c>
    </row>
    <row r="37">
      <c r="A37" t="n">
        <v>36</v>
      </c>
      <c r="B37" t="inlineStr">
        <is>
          <t>Phường Phú Định</t>
        </is>
      </c>
      <c r="C37" t="inlineStr">
        <is>
          <t>PHUONGPHUDINH</t>
        </is>
      </c>
    </row>
    <row r="38">
      <c r="A38" t="n">
        <v>37</v>
      </c>
      <c r="B38" t="inlineStr">
        <is>
          <t>Phường Vườn Lài</t>
        </is>
      </c>
      <c r="C38" t="inlineStr">
        <is>
          <t>PHUONGVUONLAI</t>
        </is>
      </c>
    </row>
    <row r="39">
      <c r="A39" t="n">
        <v>38</v>
      </c>
      <c r="B39" t="inlineStr">
        <is>
          <t>Phường Diên Hồng</t>
        </is>
      </c>
      <c r="C39" t="inlineStr">
        <is>
          <t>PHUONGDIENHONG</t>
        </is>
      </c>
    </row>
    <row r="40">
      <c r="A40" t="n">
        <v>39</v>
      </c>
      <c r="B40" t="inlineStr">
        <is>
          <t>Phường Hòa Hưng</t>
        </is>
      </c>
      <c r="C40" t="inlineStr">
        <is>
          <t>PHUONGHOAHUNG</t>
        </is>
      </c>
    </row>
    <row r="41">
      <c r="A41" t="n">
        <v>40</v>
      </c>
      <c r="B41" t="inlineStr">
        <is>
          <t>Phường Hòa Bình</t>
        </is>
      </c>
      <c r="C41" t="inlineStr">
        <is>
          <t>PHUONGHOABINH</t>
        </is>
      </c>
    </row>
    <row r="42">
      <c r="A42" t="n">
        <v>41</v>
      </c>
      <c r="B42" t="inlineStr">
        <is>
          <t>Phường Phú Thọ</t>
        </is>
      </c>
      <c r="C42" t="inlineStr">
        <is>
          <t>PHUONGPHUTHO</t>
        </is>
      </c>
    </row>
    <row r="43">
      <c r="A43" t="n">
        <v>42</v>
      </c>
      <c r="B43" t="inlineStr">
        <is>
          <t>Phường Bình Thới</t>
        </is>
      </c>
      <c r="C43" t="inlineStr">
        <is>
          <t>PHUONGBINHTHOI</t>
        </is>
      </c>
    </row>
    <row r="44">
      <c r="A44" t="n">
        <v>43</v>
      </c>
      <c r="B44" t="inlineStr">
        <is>
          <t>Phường Minh Phụng</t>
        </is>
      </c>
      <c r="C44" t="inlineStr">
        <is>
          <t>PHUONGMINHPHUNG</t>
        </is>
      </c>
    </row>
    <row r="45">
      <c r="A45" t="n">
        <v>44</v>
      </c>
      <c r="B45" t="inlineStr">
        <is>
          <t>Phường Đông Hưng Thuận</t>
        </is>
      </c>
      <c r="C45" t="inlineStr">
        <is>
          <t>PHUONGDONGHUNGTHUAN</t>
        </is>
      </c>
    </row>
    <row r="46">
      <c r="A46" t="n">
        <v>45</v>
      </c>
      <c r="B46" t="inlineStr">
        <is>
          <t>Phường Trung Mỹ Tây</t>
        </is>
      </c>
      <c r="C46" t="inlineStr">
        <is>
          <t>PHUONGTRUNGMYTAY</t>
        </is>
      </c>
    </row>
    <row r="47">
      <c r="A47" t="n">
        <v>46</v>
      </c>
      <c r="B47" t="inlineStr">
        <is>
          <t>Phường Tân Thới Hiệp</t>
        </is>
      </c>
      <c r="C47" t="inlineStr">
        <is>
          <t>PHUONGTANTHOIHIEP</t>
        </is>
      </c>
    </row>
    <row r="48">
      <c r="A48" t="n">
        <v>47</v>
      </c>
      <c r="B48" t="inlineStr">
        <is>
          <t>Phường Thới An</t>
        </is>
      </c>
      <c r="C48" t="inlineStr">
        <is>
          <t>PHUONGTHOIAN</t>
        </is>
      </c>
    </row>
    <row r="49">
      <c r="A49" t="n">
        <v>48</v>
      </c>
      <c r="B49" t="inlineStr">
        <is>
          <t>Phường An Phú Đông</t>
        </is>
      </c>
      <c r="C49" t="inlineStr">
        <is>
          <t>PHUONGANPHUDONG</t>
        </is>
      </c>
    </row>
    <row r="50">
      <c r="A50" t="n">
        <v>49</v>
      </c>
      <c r="B50" t="inlineStr">
        <is>
          <t>Phường Bình Tân</t>
        </is>
      </c>
      <c r="C50" t="inlineStr">
        <is>
          <t>PHUONGBINHTAN</t>
        </is>
      </c>
    </row>
    <row r="51">
      <c r="A51" t="n">
        <v>50</v>
      </c>
      <c r="B51" t="inlineStr">
        <is>
          <t>Phường Bình Hưng Hòa</t>
        </is>
      </c>
      <c r="C51" t="inlineStr">
        <is>
          <t>PHUONGBINHHUNGHOA</t>
        </is>
      </c>
    </row>
    <row r="52">
      <c r="A52" t="n">
        <v>51</v>
      </c>
      <c r="B52" t="inlineStr">
        <is>
          <t>Phường Bình Trị Đông</t>
        </is>
      </c>
      <c r="C52" t="inlineStr">
        <is>
          <t>PHUONGBINHTRIDONG</t>
        </is>
      </c>
    </row>
    <row r="53">
      <c r="A53" t="n">
        <v>52</v>
      </c>
      <c r="B53" t="inlineStr">
        <is>
          <t>Phường An Lạc</t>
        </is>
      </c>
      <c r="C53" t="inlineStr">
        <is>
          <t>PHUONGANLAC</t>
        </is>
      </c>
    </row>
    <row r="54">
      <c r="A54" t="n">
        <v>53</v>
      </c>
      <c r="B54" t="inlineStr">
        <is>
          <t>Phường Tân Tạo</t>
        </is>
      </c>
      <c r="C54" t="inlineStr">
        <is>
          <t>PHUONGTANTAO</t>
        </is>
      </c>
    </row>
    <row r="55">
      <c r="A55" t="n">
        <v>54</v>
      </c>
      <c r="B55" t="inlineStr">
        <is>
          <t>Phường Gia Định</t>
        </is>
      </c>
      <c r="C55" t="inlineStr">
        <is>
          <t>PHUONGGIADINH</t>
        </is>
      </c>
    </row>
    <row r="56">
      <c r="A56" t="n">
        <v>55</v>
      </c>
      <c r="B56" t="inlineStr">
        <is>
          <t>Phường Bình Thạnh</t>
        </is>
      </c>
      <c r="C56" t="inlineStr">
        <is>
          <t>PHUONGBINHTHANH</t>
        </is>
      </c>
    </row>
    <row r="57">
      <c r="A57" t="n">
        <v>56</v>
      </c>
      <c r="B57" t="inlineStr">
        <is>
          <t>Phường Bình Lợi Trung</t>
        </is>
      </c>
      <c r="C57" t="inlineStr">
        <is>
          <t>PHUONGBINHLOITRUNG</t>
        </is>
      </c>
    </row>
    <row r="58">
      <c r="A58" t="n">
        <v>57</v>
      </c>
      <c r="B58" t="inlineStr">
        <is>
          <t>Phường Thạnh Mỹ Tây</t>
        </is>
      </c>
      <c r="C58" t="inlineStr">
        <is>
          <t>PHUONGTHANHMYTAY</t>
        </is>
      </c>
    </row>
    <row r="59">
      <c r="A59" t="n">
        <v>58</v>
      </c>
      <c r="B59" t="inlineStr">
        <is>
          <t>Phường Bình Quới</t>
        </is>
      </c>
      <c r="C59" t="inlineStr">
        <is>
          <t>PHUONGBINHQUOI</t>
        </is>
      </c>
    </row>
    <row r="60">
      <c r="A60" t="n">
        <v>59</v>
      </c>
      <c r="B60" t="inlineStr">
        <is>
          <t>Phường Hạnh Thông</t>
        </is>
      </c>
      <c r="C60" t="inlineStr">
        <is>
          <t>PHUONGHANHTHONG</t>
        </is>
      </c>
    </row>
    <row r="61">
      <c r="A61" t="n">
        <v>60</v>
      </c>
      <c r="B61" t="inlineStr">
        <is>
          <t>Phường An Nhơn</t>
        </is>
      </c>
      <c r="C61" t="inlineStr">
        <is>
          <t>PHUONGANNHON</t>
        </is>
      </c>
    </row>
    <row r="62">
      <c r="A62" t="n">
        <v>61</v>
      </c>
      <c r="B62" t="inlineStr">
        <is>
          <t>Phường Gò Vấp</t>
        </is>
      </c>
      <c r="C62" t="inlineStr">
        <is>
          <t>PHUONGGOVAP</t>
        </is>
      </c>
    </row>
    <row r="63">
      <c r="A63" t="n">
        <v>62</v>
      </c>
      <c r="B63" t="inlineStr">
        <is>
          <t>Phường Thông Tây Hội</t>
        </is>
      </c>
      <c r="C63" t="inlineStr">
        <is>
          <t>PHUONGTHONGTAYHOI</t>
        </is>
      </c>
    </row>
    <row r="64">
      <c r="A64" t="n">
        <v>63</v>
      </c>
      <c r="B64" t="inlineStr">
        <is>
          <t>Phường An Hội Tây</t>
        </is>
      </c>
      <c r="C64" t="inlineStr">
        <is>
          <t>PHUONGANHOITAY</t>
        </is>
      </c>
    </row>
    <row r="65">
      <c r="A65" t="n">
        <v>64</v>
      </c>
      <c r="B65" t="inlineStr">
        <is>
          <t>Phường An Hội Đông</t>
        </is>
      </c>
      <c r="C65" t="inlineStr">
        <is>
          <t>PHUONGANHOIDONG</t>
        </is>
      </c>
    </row>
    <row r="66">
      <c r="A66" t="n">
        <v>65</v>
      </c>
      <c r="B66" t="inlineStr">
        <is>
          <t>Phường Đức Nhuận</t>
        </is>
      </c>
      <c r="C66" t="inlineStr">
        <is>
          <t>PHUONGDUCNHUAN</t>
        </is>
      </c>
    </row>
    <row r="67">
      <c r="A67" t="n">
        <v>66</v>
      </c>
      <c r="B67" t="inlineStr">
        <is>
          <t>Phường Cầu Kiệu</t>
        </is>
      </c>
      <c r="C67" t="inlineStr">
        <is>
          <t>PHUONGCAUKIEU</t>
        </is>
      </c>
    </row>
    <row r="68">
      <c r="A68" t="n">
        <v>67</v>
      </c>
      <c r="B68" t="inlineStr">
        <is>
          <t>Phường Phú Nhuận</t>
        </is>
      </c>
      <c r="C68" t="inlineStr">
        <is>
          <t>PHUONGPHUNHUAN</t>
        </is>
      </c>
    </row>
    <row r="69">
      <c r="A69" t="n">
        <v>68</v>
      </c>
      <c r="B69" t="inlineStr">
        <is>
          <t>Phường Tân Sơn Hòa</t>
        </is>
      </c>
      <c r="C69" t="inlineStr">
        <is>
          <t>PHUONGTANSONHOA</t>
        </is>
      </c>
    </row>
    <row r="70">
      <c r="A70" t="n">
        <v>69</v>
      </c>
      <c r="B70" t="inlineStr">
        <is>
          <t>Phường Tân Sơn Nhất</t>
        </is>
      </c>
      <c r="C70" t="inlineStr">
        <is>
          <t>PHUONGTANSONNHAT</t>
        </is>
      </c>
    </row>
    <row r="71">
      <c r="A71" t="n">
        <v>70</v>
      </c>
      <c r="B71" t="inlineStr">
        <is>
          <t>Phường Tân Hòa</t>
        </is>
      </c>
      <c r="C71" t="inlineStr">
        <is>
          <t>PHUONGTANHOA</t>
        </is>
      </c>
    </row>
    <row r="72">
      <c r="A72" t="n">
        <v>71</v>
      </c>
      <c r="B72" t="inlineStr">
        <is>
          <t>Phường Bảy Hiền</t>
        </is>
      </c>
      <c r="C72" t="inlineStr">
        <is>
          <t>PHUONGBAYHIEN</t>
        </is>
      </c>
    </row>
    <row r="73">
      <c r="A73" t="n">
        <v>72</v>
      </c>
      <c r="B73" t="inlineStr">
        <is>
          <t>Phường Tân Bình</t>
        </is>
      </c>
      <c r="C73" t="inlineStr">
        <is>
          <t>PHUONGTANBINH</t>
        </is>
      </c>
    </row>
    <row r="74">
      <c r="A74" t="n">
        <v>73</v>
      </c>
      <c r="B74" t="inlineStr">
        <is>
          <t>Phường Tân Sơn</t>
        </is>
      </c>
      <c r="C74" t="inlineStr">
        <is>
          <t>PHUONGTANSON</t>
        </is>
      </c>
    </row>
    <row r="75">
      <c r="A75" t="n">
        <v>74</v>
      </c>
      <c r="B75" t="inlineStr">
        <is>
          <t>Phường Tây Thạnh</t>
        </is>
      </c>
      <c r="C75" t="inlineStr">
        <is>
          <t>PHUONGTAYTHANH</t>
        </is>
      </c>
    </row>
    <row r="76">
      <c r="A76" t="n">
        <v>75</v>
      </c>
      <c r="B76" t="inlineStr">
        <is>
          <t>Phường Tân Sơn Nhì</t>
        </is>
      </c>
      <c r="C76" t="inlineStr">
        <is>
          <t>PHUONGTANSONNHI</t>
        </is>
      </c>
    </row>
    <row r="77">
      <c r="A77" t="n">
        <v>76</v>
      </c>
      <c r="B77" t="inlineStr">
        <is>
          <t>Phường Phú Thọ Hòa</t>
        </is>
      </c>
      <c r="C77" t="inlineStr">
        <is>
          <t>PHUONGPHUTHOHOA</t>
        </is>
      </c>
    </row>
    <row r="78">
      <c r="A78" t="n">
        <v>77</v>
      </c>
      <c r="B78" t="inlineStr">
        <is>
          <t>Phường Phú Thạnh</t>
        </is>
      </c>
      <c r="C78" t="inlineStr">
        <is>
          <t>PHUONGPHUTHANH</t>
        </is>
      </c>
    </row>
    <row r="79">
      <c r="A79" t="n">
        <v>78</v>
      </c>
      <c r="B79" t="inlineStr">
        <is>
          <t>Phường Tân Phú</t>
        </is>
      </c>
      <c r="C79" t="inlineStr">
        <is>
          <t>PHUONGTANPHU</t>
        </is>
      </c>
    </row>
    <row r="80">
      <c r="A80" t="n">
        <v>79</v>
      </c>
      <c r="B80" t="inlineStr">
        <is>
          <t>Xã Vĩnh Lộc</t>
        </is>
      </c>
      <c r="C80" t="inlineStr">
        <is>
          <t>XAVINHLOC</t>
        </is>
      </c>
    </row>
    <row r="81">
      <c r="A81" t="n">
        <v>80</v>
      </c>
      <c r="B81" t="inlineStr">
        <is>
          <t>Xã Tân Vĩnh Lộc</t>
        </is>
      </c>
      <c r="C81" t="inlineStr">
        <is>
          <t>XATANVINHLOC</t>
        </is>
      </c>
    </row>
    <row r="82">
      <c r="A82" t="n">
        <v>81</v>
      </c>
      <c r="B82" t="inlineStr">
        <is>
          <t>Xã Bình Lợi</t>
        </is>
      </c>
      <c r="C82" t="inlineStr">
        <is>
          <t>XABINHLOI</t>
        </is>
      </c>
    </row>
    <row r="83">
      <c r="A83" t="n">
        <v>82</v>
      </c>
      <c r="B83" t="inlineStr">
        <is>
          <t>Xã Tân Nhựt</t>
        </is>
      </c>
      <c r="C83" t="inlineStr">
        <is>
          <t>XATANNHUT</t>
        </is>
      </c>
    </row>
    <row r="84">
      <c r="A84" t="n">
        <v>83</v>
      </c>
      <c r="B84" t="inlineStr">
        <is>
          <t>Xã Bình Chánh</t>
        </is>
      </c>
      <c r="C84" t="inlineStr">
        <is>
          <t>XABINHCHANH</t>
        </is>
      </c>
    </row>
    <row r="85">
      <c r="A85" t="n">
        <v>84</v>
      </c>
      <c r="B85" t="inlineStr">
        <is>
          <t>Xã Hưng Long</t>
        </is>
      </c>
      <c r="C85" t="inlineStr">
        <is>
          <t>XAHUNGLONG</t>
        </is>
      </c>
    </row>
    <row r="86">
      <c r="A86" t="n">
        <v>85</v>
      </c>
      <c r="B86" t="inlineStr">
        <is>
          <t>Xã Bình Hưng</t>
        </is>
      </c>
      <c r="C86" t="inlineStr">
        <is>
          <t>XABINHHUNG</t>
        </is>
      </c>
    </row>
    <row r="87">
      <c r="A87" t="n">
        <v>86</v>
      </c>
      <c r="B87" t="inlineStr">
        <is>
          <t>Xã Cần Giờ</t>
        </is>
      </c>
      <c r="C87" t="inlineStr">
        <is>
          <t>XACANGIO</t>
        </is>
      </c>
    </row>
    <row r="88">
      <c r="A88" t="n">
        <v>87</v>
      </c>
      <c r="B88" t="inlineStr">
        <is>
          <t>Xã An Thới Đông</t>
        </is>
      </c>
      <c r="C88" t="inlineStr">
        <is>
          <t>XAANTHOIDONG</t>
        </is>
      </c>
    </row>
    <row r="89">
      <c r="A89" t="n">
        <v>88</v>
      </c>
      <c r="B89" t="inlineStr">
        <is>
          <t>Xã Bình Khánh</t>
        </is>
      </c>
      <c r="C89" t="inlineStr">
        <is>
          <t>XABINHKHANH</t>
        </is>
      </c>
    </row>
    <row r="90">
      <c r="A90" t="n">
        <v>89</v>
      </c>
      <c r="B90" t="inlineStr">
        <is>
          <t>Xã Thạnh An</t>
        </is>
      </c>
      <c r="C90" t="inlineStr">
        <is>
          <t>XATHANHAN</t>
        </is>
      </c>
    </row>
    <row r="91">
      <c r="A91" t="n">
        <v>90</v>
      </c>
      <c r="B91" t="inlineStr">
        <is>
          <t>Xã An Nhơn Tây</t>
        </is>
      </c>
      <c r="C91" t="inlineStr">
        <is>
          <t>XAANNHONTAY</t>
        </is>
      </c>
    </row>
    <row r="92">
      <c r="A92" t="n">
        <v>91</v>
      </c>
      <c r="B92" t="inlineStr">
        <is>
          <t>Xã Thái Mỹ</t>
        </is>
      </c>
      <c r="C92" t="inlineStr">
        <is>
          <t>XATHAIMY</t>
        </is>
      </c>
    </row>
    <row r="93">
      <c r="A93" t="n">
        <v>92</v>
      </c>
      <c r="B93" t="inlineStr">
        <is>
          <t>Xã Nhuận Đức</t>
        </is>
      </c>
      <c r="C93" t="inlineStr">
        <is>
          <t>XANHUANDUC</t>
        </is>
      </c>
    </row>
    <row r="94">
      <c r="A94" t="n">
        <v>93</v>
      </c>
      <c r="B94" t="inlineStr">
        <is>
          <t>Xã Tân An Hội</t>
        </is>
      </c>
      <c r="C94" t="inlineStr">
        <is>
          <t>XATANANHOI</t>
        </is>
      </c>
    </row>
    <row r="95">
      <c r="A95" t="n">
        <v>94</v>
      </c>
      <c r="B95" t="inlineStr">
        <is>
          <t>Xã Củ Chi</t>
        </is>
      </c>
      <c r="C95" t="inlineStr">
        <is>
          <t>XACUCHI</t>
        </is>
      </c>
    </row>
    <row r="96">
      <c r="A96" t="n">
        <v>95</v>
      </c>
      <c r="B96" t="inlineStr">
        <is>
          <t>Xã Phú Hòa Đông</t>
        </is>
      </c>
      <c r="C96" t="inlineStr">
        <is>
          <t>XAPHUHOADONG</t>
        </is>
      </c>
    </row>
    <row r="97">
      <c r="A97" t="n">
        <v>96</v>
      </c>
      <c r="B97" t="inlineStr">
        <is>
          <t>Xã Bình Mỹ</t>
        </is>
      </c>
      <c r="C97" t="inlineStr">
        <is>
          <t>XABINHMY</t>
        </is>
      </c>
    </row>
    <row r="98">
      <c r="A98" t="n">
        <v>97</v>
      </c>
      <c r="B98" t="inlineStr">
        <is>
          <t>Xã Hóc Môn</t>
        </is>
      </c>
      <c r="C98" t="inlineStr">
        <is>
          <t>XAHOCMON</t>
        </is>
      </c>
    </row>
    <row r="99">
      <c r="A99" t="n">
        <v>98</v>
      </c>
      <c r="B99" t="inlineStr">
        <is>
          <t>Xã Bà Điểm</t>
        </is>
      </c>
      <c r="C99" t="inlineStr">
        <is>
          <t>XABADIEM</t>
        </is>
      </c>
    </row>
    <row r="100">
      <c r="A100" t="n">
        <v>99</v>
      </c>
      <c r="B100" t="inlineStr">
        <is>
          <t>Xã Xuân Thới Sơn</t>
        </is>
      </c>
      <c r="C100" t="inlineStr">
        <is>
          <t>XAXUANTHOISON</t>
        </is>
      </c>
    </row>
    <row r="101">
      <c r="A101" t="n">
        <v>100</v>
      </c>
      <c r="B101" t="inlineStr">
        <is>
          <t>Xã Đông Thạnh</t>
        </is>
      </c>
      <c r="C101" t="inlineStr">
        <is>
          <t>XADONGTHANH</t>
        </is>
      </c>
    </row>
    <row r="102">
      <c r="A102" t="n">
        <v>101</v>
      </c>
      <c r="B102" t="inlineStr">
        <is>
          <t>Xã Nhà Bè</t>
        </is>
      </c>
      <c r="C102" t="inlineStr">
        <is>
          <t>XANHABE</t>
        </is>
      </c>
    </row>
    <row r="103">
      <c r="A103" t="n">
        <v>102</v>
      </c>
      <c r="B103" t="inlineStr">
        <is>
          <t>Xã Hiệp Phước</t>
        </is>
      </c>
      <c r="C103" t="inlineStr">
        <is>
          <t>XAHIEPPHUOC</t>
        </is>
      </c>
    </row>
    <row r="104">
      <c r="A104" t="n">
        <v>103</v>
      </c>
      <c r="B104" t="inlineStr">
        <is>
          <t>Phường Vũng Tàu</t>
        </is>
      </c>
      <c r="C104" t="inlineStr">
        <is>
          <t>PHUONGVUNGTAU</t>
        </is>
      </c>
    </row>
    <row r="105">
      <c r="A105" t="n">
        <v>104</v>
      </c>
      <c r="B105" t="inlineStr">
        <is>
          <t xml:space="preserve">Phường Tam Thắng </t>
        </is>
      </c>
      <c r="C105" t="inlineStr">
        <is>
          <t>PHUONGTAMTHANG</t>
        </is>
      </c>
    </row>
    <row r="106">
      <c r="A106" t="n">
        <v>105</v>
      </c>
      <c r="B106" t="inlineStr">
        <is>
          <t>Phường Rạch Dừa</t>
        </is>
      </c>
      <c r="C106" t="inlineStr">
        <is>
          <t>PHUONGRACHDUA</t>
        </is>
      </c>
    </row>
    <row r="107">
      <c r="A107" t="n">
        <v>106</v>
      </c>
      <c r="B107" t="inlineStr">
        <is>
          <t xml:space="preserve">Phường Phước Thắng </t>
        </is>
      </c>
      <c r="C107" t="inlineStr">
        <is>
          <t>PHUONGPHUOCTHANG</t>
        </is>
      </c>
    </row>
    <row r="108">
      <c r="A108" t="n">
        <v>107</v>
      </c>
      <c r="B108" t="inlineStr">
        <is>
          <t>Xã Long Sơn</t>
        </is>
      </c>
      <c r="C108" t="inlineStr">
        <is>
          <t>XALONGSON</t>
        </is>
      </c>
    </row>
    <row r="109">
      <c r="A109" t="n">
        <v>108</v>
      </c>
      <c r="B109" t="inlineStr">
        <is>
          <t>Phường Bà Rịa</t>
        </is>
      </c>
      <c r="C109" t="inlineStr">
        <is>
          <t>PHUONGBARIA</t>
        </is>
      </c>
    </row>
    <row r="110">
      <c r="A110" t="n">
        <v>109</v>
      </c>
      <c r="B110" t="inlineStr">
        <is>
          <t>Phường Long Hương</t>
        </is>
      </c>
      <c r="C110" t="inlineStr">
        <is>
          <t>PHUONGLONGHUONG</t>
        </is>
      </c>
    </row>
    <row r="111">
      <c r="A111" t="n">
        <v>110</v>
      </c>
      <c r="B111" t="inlineStr">
        <is>
          <t>Phường Tam Long</t>
        </is>
      </c>
      <c r="C111" t="inlineStr">
        <is>
          <t>PHUONGTAMLONG</t>
        </is>
      </c>
    </row>
    <row r="112">
      <c r="A112" t="n">
        <v>111</v>
      </c>
      <c r="B112" t="inlineStr">
        <is>
          <t>Phường Phú Mỹ</t>
        </is>
      </c>
      <c r="C112" t="inlineStr">
        <is>
          <t>PHUONGPHUMY</t>
        </is>
      </c>
    </row>
    <row r="113">
      <c r="A113" t="n">
        <v>112</v>
      </c>
      <c r="B113" t="inlineStr">
        <is>
          <t>Phường Tân Thành</t>
        </is>
      </c>
      <c r="C113" t="inlineStr">
        <is>
          <t>PHUONGTANTHANH</t>
        </is>
      </c>
    </row>
    <row r="114">
      <c r="A114" t="n">
        <v>113</v>
      </c>
      <c r="B114" t="inlineStr">
        <is>
          <t>Phường Tân Phước</t>
        </is>
      </c>
      <c r="C114" t="inlineStr">
        <is>
          <t>PHUONGTANPHUOC</t>
        </is>
      </c>
    </row>
    <row r="115">
      <c r="A115" t="n">
        <v>114</v>
      </c>
      <c r="B115" t="inlineStr">
        <is>
          <t>Phường Tân Hải</t>
        </is>
      </c>
      <c r="C115" t="inlineStr">
        <is>
          <t>PHUONGTANHAI</t>
        </is>
      </c>
    </row>
    <row r="116">
      <c r="A116" t="n">
        <v>115</v>
      </c>
      <c r="B116" t="inlineStr">
        <is>
          <t>Xã Châu Pha</t>
        </is>
      </c>
      <c r="C116" t="inlineStr">
        <is>
          <t>XACHAUPHA</t>
        </is>
      </c>
    </row>
    <row r="117">
      <c r="A117" t="n">
        <v>116</v>
      </c>
      <c r="B117" t="inlineStr">
        <is>
          <t>Xã Ngãi Giao</t>
        </is>
      </c>
      <c r="C117" t="inlineStr">
        <is>
          <t>XANGAIGIAO</t>
        </is>
      </c>
    </row>
    <row r="118">
      <c r="A118" t="n">
        <v>117</v>
      </c>
      <c r="B118" t="inlineStr">
        <is>
          <t>Xã Bình Giã</t>
        </is>
      </c>
      <c r="C118" t="inlineStr">
        <is>
          <t>XABINHGIA</t>
        </is>
      </c>
    </row>
    <row r="119">
      <c r="A119" t="n">
        <v>118</v>
      </c>
      <c r="B119" t="inlineStr">
        <is>
          <t>Xã Kim Long</t>
        </is>
      </c>
      <c r="C119" t="inlineStr">
        <is>
          <t>XAKIMLONG</t>
        </is>
      </c>
    </row>
    <row r="120">
      <c r="A120" t="n">
        <v>119</v>
      </c>
      <c r="B120" t="inlineStr">
        <is>
          <t>Xã Châu Đức</t>
        </is>
      </c>
      <c r="C120" t="inlineStr">
        <is>
          <t>XACHAUDUC</t>
        </is>
      </c>
    </row>
    <row r="121">
      <c r="A121" t="n">
        <v>120</v>
      </c>
      <c r="B121" t="inlineStr">
        <is>
          <t>Xã Xuân Sơn</t>
        </is>
      </c>
      <c r="C121" t="inlineStr">
        <is>
          <t>XAXUANSON</t>
        </is>
      </c>
    </row>
    <row r="122">
      <c r="A122" t="n">
        <v>121</v>
      </c>
      <c r="B122" t="inlineStr">
        <is>
          <t>Xã Nghĩa Thành</t>
        </is>
      </c>
      <c r="C122" t="inlineStr">
        <is>
          <t>XANGHIATHANH</t>
        </is>
      </c>
    </row>
    <row r="123">
      <c r="A123" t="n">
        <v>122</v>
      </c>
      <c r="B123" t="inlineStr">
        <is>
          <t>Xã Hòa Hiệp</t>
        </is>
      </c>
      <c r="C123" t="inlineStr">
        <is>
          <t>XAHOAHIEP</t>
        </is>
      </c>
    </row>
    <row r="124">
      <c r="A124" t="n">
        <v>123</v>
      </c>
      <c r="B124" t="inlineStr">
        <is>
          <t>Xã Bình Châu</t>
        </is>
      </c>
      <c r="C124" t="inlineStr">
        <is>
          <t>XABINHCHAU</t>
        </is>
      </c>
    </row>
    <row r="125">
      <c r="A125" t="n">
        <v>124</v>
      </c>
      <c r="B125" t="inlineStr">
        <is>
          <t>Xã Hồ Tràm</t>
        </is>
      </c>
      <c r="C125" t="inlineStr">
        <is>
          <t>XAHOTRAM</t>
        </is>
      </c>
    </row>
    <row r="126">
      <c r="A126" t="n">
        <v>125</v>
      </c>
      <c r="B126" t="inlineStr">
        <is>
          <t>Xã Xuyên Mộc</t>
        </is>
      </c>
      <c r="C126" t="inlineStr">
        <is>
          <t>XAXUYENMOC</t>
        </is>
      </c>
    </row>
    <row r="127">
      <c r="A127" t="n">
        <v>126</v>
      </c>
      <c r="B127" t="inlineStr">
        <is>
          <t>Xã Hòa Hội</t>
        </is>
      </c>
      <c r="C127" t="inlineStr">
        <is>
          <t>XAHOAHOI</t>
        </is>
      </c>
    </row>
    <row r="128">
      <c r="A128" t="n">
        <v>127</v>
      </c>
      <c r="B128" t="inlineStr">
        <is>
          <t>Xã Bàu Lâm</t>
        </is>
      </c>
      <c r="C128" t="inlineStr">
        <is>
          <t>XABAULAM</t>
        </is>
      </c>
    </row>
    <row r="129">
      <c r="A129" t="n">
        <v>128</v>
      </c>
      <c r="B129" t="inlineStr">
        <is>
          <t>Xã Đất Đỏ</t>
        </is>
      </c>
      <c r="C129" t="inlineStr">
        <is>
          <t>XADATDO</t>
        </is>
      </c>
    </row>
    <row r="130">
      <c r="A130" t="n">
        <v>129</v>
      </c>
      <c r="B130" t="inlineStr">
        <is>
          <t>Xã Long Hải</t>
        </is>
      </c>
      <c r="C130" t="inlineStr">
        <is>
          <t>XALONGHAI</t>
        </is>
      </c>
    </row>
    <row r="131">
      <c r="A131" t="n">
        <v>130</v>
      </c>
      <c r="B131" t="inlineStr">
        <is>
          <t>Xã Long Điền</t>
        </is>
      </c>
      <c r="C131" t="inlineStr">
        <is>
          <t>XALONGDIEN</t>
        </is>
      </c>
    </row>
    <row r="132">
      <c r="A132" t="n">
        <v>131</v>
      </c>
      <c r="B132" t="inlineStr">
        <is>
          <t>Xã Phước Hải</t>
        </is>
      </c>
      <c r="C132" t="inlineStr">
        <is>
          <t>XAPHUOCHAI</t>
        </is>
      </c>
    </row>
    <row r="133">
      <c r="A133" t="n">
        <v>132</v>
      </c>
      <c r="B133" t="inlineStr">
        <is>
          <t>Đặc khu Côn Đảo</t>
        </is>
      </c>
      <c r="C133" t="inlineStr">
        <is>
          <t>DACKHUCONDAO</t>
        </is>
      </c>
    </row>
    <row r="134">
      <c r="A134" t="n">
        <v>133</v>
      </c>
      <c r="B134" t="inlineStr">
        <is>
          <t>Phường Thới Hòa</t>
        </is>
      </c>
      <c r="C134" t="inlineStr">
        <is>
          <t>PHUONGTHOIHOA</t>
        </is>
      </c>
    </row>
    <row r="135">
      <c r="A135" t="n">
        <v>134</v>
      </c>
      <c r="B135" t="inlineStr">
        <is>
          <t>Phường Đông Hòa</t>
        </is>
      </c>
      <c r="C135" t="inlineStr">
        <is>
          <t>PHUONGDONGHOA</t>
        </is>
      </c>
    </row>
    <row r="136">
      <c r="A136" t="n">
        <v>135</v>
      </c>
      <c r="B136" t="inlineStr">
        <is>
          <t>Phường Dĩ An</t>
        </is>
      </c>
      <c r="C136" t="inlineStr">
        <is>
          <t>PHUONGDIAN</t>
        </is>
      </c>
    </row>
    <row r="137">
      <c r="A137" t="n">
        <v>136</v>
      </c>
      <c r="B137" t="inlineStr">
        <is>
          <t>Phường Tân Đông Hiệp</t>
        </is>
      </c>
      <c r="C137" t="inlineStr">
        <is>
          <t>PHUONGTANDONGHIEP</t>
        </is>
      </c>
    </row>
    <row r="138">
      <c r="A138" t="n">
        <v>137</v>
      </c>
      <c r="B138" t="inlineStr">
        <is>
          <t>Phường Thuận An</t>
        </is>
      </c>
      <c r="C138" t="inlineStr">
        <is>
          <t>PHUONGTHUANAN</t>
        </is>
      </c>
    </row>
    <row r="139">
      <c r="A139" t="n">
        <v>138</v>
      </c>
      <c r="B139" t="inlineStr">
        <is>
          <t>Phường Thuận Giao</t>
        </is>
      </c>
      <c r="C139" t="inlineStr">
        <is>
          <t>PHUONGTHUANGIAO</t>
        </is>
      </c>
    </row>
    <row r="140">
      <c r="A140" t="n">
        <v>139</v>
      </c>
      <c r="B140" t="inlineStr">
        <is>
          <t>Phường Bình Hòa</t>
        </is>
      </c>
      <c r="C140" t="inlineStr">
        <is>
          <t>PHUONGBINHHOA</t>
        </is>
      </c>
    </row>
    <row r="141">
      <c r="A141" t="n">
        <v>140</v>
      </c>
      <c r="B141" t="inlineStr">
        <is>
          <t>Phường Lái Thiêu</t>
        </is>
      </c>
      <c r="C141" t="inlineStr">
        <is>
          <t>PHUONGLAITHIEU</t>
        </is>
      </c>
    </row>
    <row r="142">
      <c r="A142" t="n">
        <v>141</v>
      </c>
      <c r="B142" t="inlineStr">
        <is>
          <t>Phường An Phú</t>
        </is>
      </c>
      <c r="C142" t="inlineStr">
        <is>
          <t>PHUONGANPHU</t>
        </is>
      </c>
    </row>
    <row r="143">
      <c r="A143" t="n">
        <v>142</v>
      </c>
      <c r="B143" t="inlineStr">
        <is>
          <t>Phường Bình Dương</t>
        </is>
      </c>
      <c r="C143" t="inlineStr">
        <is>
          <t>PHUONGBINHDUONG</t>
        </is>
      </c>
    </row>
    <row r="144">
      <c r="A144" t="n">
        <v>143</v>
      </c>
      <c r="B144" t="inlineStr">
        <is>
          <t>Phường Chánh Hiệp</t>
        </is>
      </c>
      <c r="C144" t="inlineStr">
        <is>
          <t>PHUONGCHANHHIEP</t>
        </is>
      </c>
    </row>
    <row r="145">
      <c r="A145" t="n">
        <v>144</v>
      </c>
      <c r="B145" t="inlineStr">
        <is>
          <t>Phường Thủ Dầu Một</t>
        </is>
      </c>
      <c r="C145" t="inlineStr">
        <is>
          <t>PHUONGTHUDAUMOT</t>
        </is>
      </c>
    </row>
    <row r="146">
      <c r="A146" t="n">
        <v>145</v>
      </c>
      <c r="B146" t="inlineStr">
        <is>
          <t>Phường Phú Lợi</t>
        </is>
      </c>
      <c r="C146" t="inlineStr">
        <is>
          <t>PHUONGPHULOI</t>
        </is>
      </c>
    </row>
    <row r="147">
      <c r="A147" t="n">
        <v>146</v>
      </c>
      <c r="B147" t="inlineStr">
        <is>
          <t>Phường Vĩnh Tân</t>
        </is>
      </c>
      <c r="C147" t="inlineStr">
        <is>
          <t>PHUONGVINHTAN</t>
        </is>
      </c>
    </row>
    <row r="148">
      <c r="A148" t="n">
        <v>147</v>
      </c>
      <c r="B148" t="inlineStr">
        <is>
          <t>Phường Bình Cơ</t>
        </is>
      </c>
      <c r="C148" t="inlineStr">
        <is>
          <t>PHUONGBINHCO</t>
        </is>
      </c>
    </row>
    <row r="149">
      <c r="A149" t="n">
        <v>148</v>
      </c>
      <c r="B149" t="inlineStr">
        <is>
          <t>Phường Tân Uyên</t>
        </is>
      </c>
      <c r="C149" t="inlineStr">
        <is>
          <t>PHUONGTANUYEN</t>
        </is>
      </c>
    </row>
    <row r="150">
      <c r="A150" t="n">
        <v>149</v>
      </c>
      <c r="B150" t="inlineStr">
        <is>
          <t>Phường Tân Hiệp</t>
        </is>
      </c>
      <c r="C150" t="inlineStr">
        <is>
          <t>PHUONGTANHIEP</t>
        </is>
      </c>
    </row>
    <row r="151">
      <c r="A151" t="n">
        <v>150</v>
      </c>
      <c r="B151" t="inlineStr">
        <is>
          <t>Phường Tân Khánh</t>
        </is>
      </c>
      <c r="C151" t="inlineStr">
        <is>
          <t>PHUONGTANKHANH</t>
        </is>
      </c>
    </row>
    <row r="152">
      <c r="A152" t="n">
        <v>151</v>
      </c>
      <c r="B152" t="inlineStr">
        <is>
          <t>Phường Phú An</t>
        </is>
      </c>
      <c r="C152" t="inlineStr">
        <is>
          <t>PHUONGPHUAN</t>
        </is>
      </c>
    </row>
    <row r="153">
      <c r="A153" t="n">
        <v>152</v>
      </c>
      <c r="B153" t="inlineStr">
        <is>
          <t>Phường Tây Nam</t>
        </is>
      </c>
      <c r="C153" t="inlineStr">
        <is>
          <t>PHUONGTAYNAM</t>
        </is>
      </c>
    </row>
    <row r="154">
      <c r="A154" t="n">
        <v>153</v>
      </c>
      <c r="B154" t="inlineStr">
        <is>
          <t>Phường Long Nguyên</t>
        </is>
      </c>
      <c r="C154" t="inlineStr">
        <is>
          <t>PHUONGLONGNGUYEN</t>
        </is>
      </c>
    </row>
    <row r="155">
      <c r="A155" t="n">
        <v>154</v>
      </c>
      <c r="B155" t="inlineStr">
        <is>
          <t>Phường Bến Cát</t>
        </is>
      </c>
      <c r="C155" t="inlineStr">
        <is>
          <t>PHUONGBENCAT</t>
        </is>
      </c>
    </row>
    <row r="156">
      <c r="A156" t="n">
        <v>155</v>
      </c>
      <c r="B156" t="inlineStr">
        <is>
          <t>Phường Chánh Phú Hòa</t>
        </is>
      </c>
      <c r="C156" t="inlineStr">
        <is>
          <t>PHUONGCHANHPHUHOA</t>
        </is>
      </c>
    </row>
    <row r="157">
      <c r="A157" t="n">
        <v>156</v>
      </c>
      <c r="B157" t="inlineStr">
        <is>
          <t>Phường Hòa Lợi</t>
        </is>
      </c>
      <c r="C157" t="inlineStr">
        <is>
          <t>PHUONGHOALOI</t>
        </is>
      </c>
    </row>
    <row r="158">
      <c r="A158" t="n">
        <v>157</v>
      </c>
      <c r="B158" t="inlineStr">
        <is>
          <t>Xã Bắc Tân Uyên</t>
        </is>
      </c>
      <c r="C158" t="inlineStr">
        <is>
          <t>XABACTANUYEN</t>
        </is>
      </c>
    </row>
    <row r="159">
      <c r="A159" t="n">
        <v>158</v>
      </c>
      <c r="B159" t="inlineStr">
        <is>
          <t>Xã Thường Tân</t>
        </is>
      </c>
      <c r="C159" t="inlineStr">
        <is>
          <t>XATHUONGTAN</t>
        </is>
      </c>
    </row>
    <row r="160">
      <c r="A160" t="n">
        <v>159</v>
      </c>
      <c r="B160" t="inlineStr">
        <is>
          <t>Xã An Long</t>
        </is>
      </c>
      <c r="C160" t="inlineStr">
        <is>
          <t>XAANLONG</t>
        </is>
      </c>
    </row>
    <row r="161">
      <c r="A161" t="n">
        <v>160</v>
      </c>
      <c r="B161" t="inlineStr">
        <is>
          <t>Xã Phước Thành</t>
        </is>
      </c>
      <c r="C161" t="inlineStr">
        <is>
          <t>XAPHUOCTHANH</t>
        </is>
      </c>
    </row>
    <row r="162">
      <c r="A162" t="n">
        <v>161</v>
      </c>
      <c r="B162" t="inlineStr">
        <is>
          <t>Xã Phước Hòa</t>
        </is>
      </c>
      <c r="C162" t="inlineStr">
        <is>
          <t>XAPHUOCHOA</t>
        </is>
      </c>
    </row>
    <row r="163">
      <c r="A163" t="n">
        <v>162</v>
      </c>
      <c r="B163" t="inlineStr">
        <is>
          <t>Xã Phú Giáo</t>
        </is>
      </c>
      <c r="C163" t="inlineStr">
        <is>
          <t>XAPHUGIAO</t>
        </is>
      </c>
    </row>
    <row r="164">
      <c r="A164" t="n">
        <v>163</v>
      </c>
      <c r="B164" t="inlineStr">
        <is>
          <t>Xã Trừ Văn Thố</t>
        </is>
      </c>
      <c r="C164" t="inlineStr">
        <is>
          <t>XATRUVANTHO</t>
        </is>
      </c>
    </row>
    <row r="165">
      <c r="A165" t="n">
        <v>164</v>
      </c>
      <c r="B165" t="inlineStr">
        <is>
          <t>Xã Bàu Bàng</t>
        </is>
      </c>
      <c r="C165" t="inlineStr">
        <is>
          <t>XABAUBANG</t>
        </is>
      </c>
    </row>
    <row r="166">
      <c r="A166" t="n">
        <v>165</v>
      </c>
      <c r="B166" t="inlineStr">
        <is>
          <t>Xã Minh Thạnh</t>
        </is>
      </c>
      <c r="C166" t="inlineStr">
        <is>
          <t>XAMINHTHANH</t>
        </is>
      </c>
    </row>
    <row r="167">
      <c r="A167" t="n">
        <v>166</v>
      </c>
      <c r="B167" t="inlineStr">
        <is>
          <t>Xã Long Hòa</t>
        </is>
      </c>
      <c r="C167" t="inlineStr">
        <is>
          <t>XALONGHOA</t>
        </is>
      </c>
    </row>
    <row r="168">
      <c r="A168" t="n">
        <v>167</v>
      </c>
      <c r="B168" t="inlineStr">
        <is>
          <t>Xã Dầu Tiếng</t>
        </is>
      </c>
      <c r="C168" t="inlineStr">
        <is>
          <t>XADAUTIENG</t>
        </is>
      </c>
    </row>
    <row r="169">
      <c r="A169" t="n">
        <v>168</v>
      </c>
      <c r="B169" t="inlineStr">
        <is>
          <t>Xã Thanh An</t>
        </is>
      </c>
      <c r="C169" t="inlineStr">
        <is>
          <t>XATHANHAN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28" customWidth="1" min="3" max="3"/>
  </cols>
  <sheetData>
    <row r="1" ht="36" customHeight="1">
      <c r="A1" s="1" t="inlineStr">
        <is>
          <t>Id</t>
        </is>
      </c>
      <c r="B1" s="1" t="inlineStr">
        <is>
          <t>Name</t>
        </is>
      </c>
      <c r="C1" s="6" t="inlineStr">
        <is>
          <t>TimKiem</t>
        </is>
      </c>
    </row>
    <row r="2">
      <c r="A2" t="n">
        <v>227</v>
      </c>
      <c r="B2" t="inlineStr">
        <is>
          <t>Tổng Bí thư, Thường trực Ban Bí thư, Ban Bí thư, Ủy viên Bộ Chính trị, Ủy viên Ban Chấp hành Trung ương Đảng</t>
        </is>
      </c>
      <c r="C2" t="inlineStr">
        <is>
          <t>TONGBITHU,THUONGTRUCBANBITHU,BANBITHU,UYVIENBOCHINHTRI,UYVIENBANCHAPHANHTRUNGUONGDANG</t>
        </is>
      </c>
    </row>
    <row r="3">
      <c r="A3" t="n">
        <v>228</v>
      </c>
      <c r="B3" t="inlineStr">
        <is>
          <t>Bí thư, Phó Bí thư Đảng ủy cơ quan trung ương</t>
        </is>
      </c>
      <c r="C3" t="inlineStr">
        <is>
          <t>BITHU,PHOBITHUDANGUYCOQUANTRUNGUONG</t>
        </is>
      </c>
    </row>
    <row r="4">
      <c r="A4" t="n">
        <v>229</v>
      </c>
      <c r="B4" t="inlineStr">
        <is>
          <t>Bí thư, Phó Bí thư Đảng ủy khối trực thuộc trung ương</t>
        </is>
      </c>
      <c r="C4" t="inlineStr">
        <is>
          <t>BITHU,PHOBITHUDANGUYKHOITRUCTHUOCTRUNGUONG</t>
        </is>
      </c>
    </row>
    <row r="5">
      <c r="A5" t="n">
        <v>230</v>
      </c>
      <c r="B5" t="inlineStr">
        <is>
          <t xml:space="preserve">Trưởng ban, Phó Trưởng ban Đảng và tương đương thuộc cấp trung ương </t>
        </is>
      </c>
      <c r="C5" t="inlineStr">
        <is>
          <t>TRUONGBAN,PHOTRUONGBANDANGVATUONGDUONGTHUOCCAPTRUNGUONG</t>
        </is>
      </c>
    </row>
    <row r="6">
      <c r="A6" t="n">
        <v>231</v>
      </c>
      <c r="B6" t="inlineStr">
        <is>
          <t xml:space="preserve">Trợ lý Ủy viên Bộ Chính trị </t>
        </is>
      </c>
      <c r="C6" t="inlineStr">
        <is>
          <t>TROLYUYVIENBOCHINHTRI</t>
        </is>
      </c>
    </row>
    <row r="7">
      <c r="A7" t="n">
        <v>232</v>
      </c>
      <c r="B7" t="inlineStr">
        <is>
          <t>Vụ trưởng, Phó Vụ trưởng và tương đương</t>
        </is>
      </c>
      <c r="C7" t="inlineStr">
        <is>
          <t>VUTRUONG,PHOVUTRUONGVATUONGDUONG</t>
        </is>
      </c>
    </row>
    <row r="8">
      <c r="A8" t="n">
        <v>233</v>
      </c>
      <c r="B8" t="inlineStr">
        <is>
          <t>Bí thư Tỉnh ủy, Phó Bí thư Tỉnh ủy, Ủy viên Ban Chấp hành Đảng bộ cấp tỉnh</t>
        </is>
      </c>
      <c r="C8" t="inlineStr">
        <is>
          <t>BITHUTINHUY,PHOBITHUTINHUY,UYVIENBANCHAPHANHDANGBOCAPTINH</t>
        </is>
      </c>
    </row>
    <row r="9">
      <c r="A9" t="n">
        <v>234</v>
      </c>
      <c r="B9" t="inlineStr">
        <is>
          <t>Bí thư, Phó Bí thư Đảng ủy sở, ban, ngành cấp tỉnh</t>
        </is>
      </c>
      <c r="C9" t="inlineStr">
        <is>
          <t>BITHU,PHOBITHUDANGUYSO,BAN,NGANHCAPTINH</t>
        </is>
      </c>
    </row>
    <row r="10">
      <c r="A10" t="n">
        <v>235</v>
      </c>
      <c r="B10" t="inlineStr">
        <is>
          <t>Bí thư, Phó Bí thư Đảng ủy khối cơ quan cấp tỉnh</t>
        </is>
      </c>
      <c r="C10" t="inlineStr">
        <is>
          <t>BITHU,PHOBITHUDANGUYKHOICOQUANCAPTINH</t>
        </is>
      </c>
    </row>
    <row r="11">
      <c r="A11" t="n">
        <v>236</v>
      </c>
      <c r="B11" t="inlineStr">
        <is>
          <t>Trưởng ban, Phó Trưởng ban Đảng và tương đương thuộc cấp tỉnh</t>
        </is>
      </c>
      <c r="C11" t="inlineStr">
        <is>
          <t>TRUONGBAN,PHOTRUONGBANDANGVATUONGDUONGTHUOCCAPTINH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28" customWidth="1" min="3" max="3"/>
  </cols>
  <sheetData>
    <row r="1" ht="36" customHeight="1">
      <c r="A1" s="1" t="inlineStr">
        <is>
          <t>Id</t>
        </is>
      </c>
      <c r="B1" s="1" t="inlineStr">
        <is>
          <t>Name</t>
        </is>
      </c>
      <c r="C1" s="6" t="inlineStr">
        <is>
          <t>TimKiem</t>
        </is>
      </c>
    </row>
    <row r="2">
      <c r="A2" t="n">
        <v>1</v>
      </c>
      <c r="B2" t="inlineStr">
        <is>
          <t>Phòng khám đa khoa thuộc Công ty Cổ phần Bệnh viện Quốc tế European Wellness</t>
        </is>
      </c>
      <c r="C2" t="inlineStr">
        <is>
          <t>PHONGKHAMDAKHOATHUOCCONGTYCOPHANBENHVIENQUOCTEEUROPEANWELLNESS</t>
        </is>
      </c>
    </row>
    <row r="3">
      <c r="A3" t="n">
        <v>2</v>
      </c>
      <c r="B3" t="inlineStr">
        <is>
          <t>Phòng khám đa khoa thuộc Công ty TNHH Phòng khám đa khoa Đi Cờ Li Nít</t>
        </is>
      </c>
      <c r="C3" t="inlineStr">
        <is>
          <t>PHONGKHAMDAKHOATHUOCCONGTYTNHHPHONGKHAMDAKHOADICOLINIT</t>
        </is>
      </c>
    </row>
    <row r="4">
      <c r="A4" t="n">
        <v>3</v>
      </c>
      <c r="B4" t="inlineStr">
        <is>
          <t>Phòng khám đa khoa thuộc Công ty Cổ phần Vigor Anbis Japan</t>
        </is>
      </c>
      <c r="C4" t="inlineStr">
        <is>
          <t>PHONGKHAMDAKHOATHUOCCONGTYCOPHANVIGORANBISJAPAN</t>
        </is>
      </c>
    </row>
    <row r="5">
      <c r="A5" t="n">
        <v>4</v>
      </c>
      <c r="B5" t="inlineStr">
        <is>
          <t>Phòng khám đa khoa thuộc Công ty Cổ phần Y tế Tao Đàn</t>
        </is>
      </c>
      <c r="C5" t="inlineStr">
        <is>
          <t>PHONGKHAMDAKHOATHUOCCONGTYCOPHANYTETAODAN</t>
        </is>
      </c>
    </row>
    <row r="6">
      <c r="A6" t="n">
        <v>5</v>
      </c>
      <c r="B6" t="inlineStr">
        <is>
          <t>Phòng khám đa khoa thuộc Chi nhánh Công ty Cổ phần Phát triển Y tế Victoria Healthcare - Phòng khám đa khoa ĐTH</t>
        </is>
      </c>
      <c r="C6" t="inlineStr">
        <is>
          <t>PHONGKHAMDAKHOATHUOCCHINHANHCONGTYCOPHANPHATTRIENYTEVICTORIAHEALTHCARE-PHONGKHAMDAKHOADTH</t>
        </is>
      </c>
    </row>
    <row r="7">
      <c r="A7" t="n">
        <v>6</v>
      </c>
      <c r="B7" t="inlineStr">
        <is>
          <t>Phòng khám đa khoa thuộc Công ty Cổ phần Phòng khám Gia đình Thành phố Hồ Chí Minh (Phòng khám số 1)</t>
        </is>
      </c>
      <c r="C7" t="inlineStr">
        <is>
          <t>PHONGKHAMDAKHOATHUOCCONGTYCOPHANPHONGKHAMGIADINHTHANHPHOHOCHIMINH(PHONGKHAMSO1)</t>
        </is>
      </c>
    </row>
    <row r="8">
      <c r="A8" t="n">
        <v>7</v>
      </c>
      <c r="B8" t="inlineStr">
        <is>
          <t>Phòng khám đa khoa thuộc Phòng khám đa khoa DHA Healthcare (thuộc Công ty Cổ phần Thương mại Dịch vụ Y tế DHA)</t>
        </is>
      </c>
      <c r="C8" t="inlineStr">
        <is>
          <t>PHONGKHAMDAKHOATHUOCPHONGKHAMDAKHOADHAHEALTHCARE(THUOCCONGTYCOPHANTHUONGMAIDICHVUYTEDHA)</t>
        </is>
      </c>
    </row>
    <row r="9">
      <c r="A9" t="n">
        <v>8</v>
      </c>
      <c r="B9" t="inlineStr">
        <is>
          <t>Phòng khám đa khoa thuộc Công ty TNHH Dym Medical Center Việt Nam</t>
        </is>
      </c>
      <c r="C9" t="inlineStr">
        <is>
          <t>PHONGKHAMDAKHOATHUOCCONGTYTNHHDYMMEDICALCENTERVIETNAM</t>
        </is>
      </c>
    </row>
    <row r="10">
      <c r="A10" t="n">
        <v>9</v>
      </c>
      <c r="B10" t="inlineStr">
        <is>
          <t>Phòng khám đa khoa thuộc Phòng khám đa khoa Hoa Sen</t>
        </is>
      </c>
      <c r="C10" t="inlineStr">
        <is>
          <t>PHONGKHAMDAKHOATHUOCPHONGKHAMDAKHOAHOASEN</t>
        </is>
      </c>
    </row>
    <row r="11">
      <c r="A11" t="n">
        <v>10</v>
      </c>
      <c r="B11" t="inlineStr">
        <is>
          <t>Phòng khám đa khoa Intermec - Chi nhánh Công ty TNHH Phòng khám đa khoa Intermec</t>
        </is>
      </c>
      <c r="C11" t="inlineStr">
        <is>
          <t>PHONGKHAMDAKHOAINTERMEC-CHINHANHCONGTYTNHHPHONGKHAMDAKHOAINTERMEC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>
      <c r="A1" t="inlineStr">
        <is>
          <t>TÌM KIẾM (nhập một phần cũng được)</t>
        </is>
      </c>
    </row>
    <row r="3">
      <c r="A3" t="inlineStr">
        <is>
          <t>CCCD (đủ hoặc vài số cuối)</t>
        </is>
      </c>
    </row>
    <row r="4">
      <c r="A4" t="inlineStr">
        <is>
          <t>HoTen (một phần)</t>
        </is>
      </c>
    </row>
    <row r="5">
      <c r="A5" t="inlineStr">
        <is>
          <t>SDT (một phần)</t>
        </is>
      </c>
    </row>
    <row r="6">
      <c r="A6" t="inlineStr">
        <is>
          <t>NgaySinh</t>
        </is>
      </c>
    </row>
    <row r="8">
      <c r="A8" t="inlineStr">
        <is>
          <t>Số kết quả</t>
        </is>
      </c>
      <c r="B8" t="n">
        <v>2</v>
      </c>
    </row>
    <row r="9">
      <c r="A9" t="inlineStr">
        <is>
          <t>HoTen (kết quả)</t>
        </is>
      </c>
      <c r="B9" t="inlineStr">
        <is>
          <t>TRẦN NGỌC DUNG</t>
        </is>
      </c>
    </row>
    <row r="10">
      <c r="A10" t="inlineStr">
        <is>
          <t>CCCD</t>
        </is>
      </c>
      <c r="B10" t="inlineStr">
        <is>
          <t>087187000236</t>
        </is>
      </c>
    </row>
    <row r="11">
      <c r="A11" t="inlineStr">
        <is>
          <t>SDT</t>
        </is>
      </c>
      <c r="B11" t="inlineStr">
        <is>
          <t>0989681925</t>
        </is>
      </c>
    </row>
    <row r="12">
      <c r="A12" t="inlineStr">
        <is>
          <t>NgaySinh</t>
        </is>
      </c>
      <c r="B12" t="inlineStr">
        <is>
          <t>27/06/1987</t>
        </is>
      </c>
    </row>
    <row r="13">
      <c r="A13" t="inlineStr">
        <is>
          <t>MaBanGhi</t>
        </is>
      </c>
      <c r="B13" t="n">
        <v>904629</v>
      </c>
    </row>
    <row r="14">
      <c r="A14" t="inlineStr">
        <is>
          <t>TrangThai</t>
        </is>
      </c>
      <c r="B14" t="inlineStr">
        <is>
          <t>THANH_CONG</t>
        </is>
      </c>
    </row>
    <row r="15">
      <c r="A15" t="inlineStr">
        <is>
          <t>GhiChu</t>
        </is>
      </c>
      <c r="B15" t="inlineStr">
        <is>
          <t>Đã import trước đó</t>
        </is>
      </c>
    </row>
    <row r="17">
      <c r="A17" t="inlineStr">
        <is>
          <t>Chạy: python3 search_fill.py --excel KSKDK_TTHC_mau_nhap.xlsx</t>
        </is>
      </c>
    </row>
    <row r="18">
      <c r="A18" t="inlineStr">
        <is>
          <t>STT</t>
        </is>
      </c>
      <c r="B18" t="inlineStr">
        <is>
          <t>HoTen</t>
        </is>
      </c>
      <c r="C18" t="inlineStr">
        <is>
          <t>CCCD</t>
        </is>
      </c>
      <c r="D18" t="inlineStr">
        <is>
          <t>SDT</t>
        </is>
      </c>
      <c r="E18" t="inlineStr">
        <is>
          <t>MaBanGhi</t>
        </is>
      </c>
      <c r="F18" t="inlineStr">
        <is>
          <t>TrangThai</t>
        </is>
      </c>
      <c r="G18" t="inlineStr">
        <is>
          <t>Nguon</t>
        </is>
      </c>
    </row>
    <row r="19">
      <c r="A19" t="n">
        <v>1</v>
      </c>
      <c r="B19" t="inlineStr">
        <is>
          <t>TRẦN NGỌC DUNG</t>
        </is>
      </c>
      <c r="C19" t="inlineStr">
        <is>
          <t>087187000236</t>
        </is>
      </c>
      <c r="D19" t="inlineStr">
        <is>
          <t>0989681925</t>
        </is>
      </c>
      <c r="E19" t="n">
        <v>904629</v>
      </c>
      <c r="F19" t="inlineStr">
        <is>
          <t>THANH_CONG</t>
        </is>
      </c>
      <c r="G19" t="inlineStr">
        <is>
          <t>DaImport:2</t>
        </is>
      </c>
    </row>
    <row r="20">
      <c r="A20" t="n">
        <v>2</v>
      </c>
      <c r="B20" t="inlineStr">
        <is>
          <t>TRẦN NGỌC DUNG</t>
        </is>
      </c>
      <c r="C20" t="inlineStr">
        <is>
          <t>087187000236</t>
        </is>
      </c>
      <c r="D20" t="inlineStr">
        <is>
          <t>0989681925</t>
        </is>
      </c>
      <c r="F20" t="inlineStr">
        <is>
          <t>TRUNG</t>
        </is>
      </c>
      <c r="G20" t="inlineStr">
        <is>
          <t>NhapLieu:3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selection activeCell="A1" sqref="A1"/>
    </sheetView>
  </sheetViews>
  <sheetFormatPr baseColWidth="8" defaultRowHeight="15"/>
  <sheetData>
    <row r="1" ht="36" customHeight="1">
      <c r="A1" s="1" t="inlineStr">
        <is>
          <t>NgayKham</t>
        </is>
      </c>
      <c r="B1" s="1" t="inlineStr">
        <is>
          <t>DoiTuong</t>
        </is>
      </c>
      <c r="C1" s="1" t="inlineStr">
        <is>
          <t>DiaDiemKham</t>
        </is>
      </c>
      <c r="D1" s="1" t="inlineStr">
        <is>
          <t>HinhThucChiTra</t>
        </is>
      </c>
      <c r="E1" s="1" t="inlineStr">
        <is>
          <t>HinhThucKham</t>
        </is>
      </c>
      <c r="F1" s="1" t="inlineStr">
        <is>
          <t>NguonKhac_GhiRo</t>
        </is>
      </c>
      <c r="G1" s="1" t="inlineStr">
        <is>
          <t>CCCD</t>
        </is>
      </c>
      <c r="H1" s="1" t="inlineStr">
        <is>
          <t>HoTen</t>
        </is>
      </c>
      <c r="I1" s="1" t="inlineStr">
        <is>
          <t>NgaySinh</t>
        </is>
      </c>
      <c r="J1" s="1" t="inlineStr">
        <is>
          <t>GioiTinh</t>
        </is>
      </c>
      <c r="K1" s="1" t="inlineStr">
        <is>
          <t>DanToc</t>
        </is>
      </c>
      <c r="L1" s="1" t="inlineStr">
        <is>
          <t>NhomMau</t>
        </is>
      </c>
      <c r="M1" s="1" t="inlineStr">
        <is>
          <t>YeuToNhomMau</t>
        </is>
      </c>
      <c r="N1" s="1" t="inlineStr">
        <is>
          <t>BHYT</t>
        </is>
      </c>
      <c r="O1" s="1" t="inlineStr">
        <is>
          <t>SDT</t>
        </is>
      </c>
      <c r="P1" s="1" t="inlineStr">
        <is>
          <t>NoiOHienTai</t>
        </is>
      </c>
      <c r="Q1" s="1" t="inlineStr">
        <is>
          <t>TinhThanh</t>
        </is>
      </c>
      <c r="R1" s="1" t="inlineStr">
        <is>
          <t>XaPhuong</t>
        </is>
      </c>
      <c r="S1" s="1" t="inlineStr">
        <is>
          <t>NgheNghiepId</t>
        </is>
      </c>
      <c r="T1" s="1" t="inlineStr">
        <is>
          <t>NgheNghiep</t>
        </is>
      </c>
      <c r="U1" s="1" t="inlineStr">
        <is>
          <t>NoiCongTac</t>
        </is>
      </c>
      <c r="V1" s="1" t="inlineStr">
        <is>
          <t>XaPhuongCongTac</t>
        </is>
      </c>
      <c r="W1" s="1" t="inlineStr">
        <is>
          <t>LyDoKham</t>
        </is>
      </c>
      <c r="X1" s="1" t="inlineStr">
        <is>
          <t>MaBanGhi</t>
        </is>
      </c>
      <c r="Y1" s="1" t="inlineStr">
        <is>
          <t>TrangThai</t>
        </is>
      </c>
      <c r="Z1" s="1" t="inlineStr">
        <is>
          <t>GhiChu</t>
        </is>
      </c>
    </row>
    <row r="2">
      <c r="A2" t="inlineStr">
        <is>
          <t>29/07/2026</t>
        </is>
      </c>
      <c r="B2" t="inlineStr">
        <is>
          <t>Người lao động (theo pháp luật về an toàn, vệ sinh lao động)</t>
        </is>
      </c>
      <c r="C2" t="inlineStr">
        <is>
          <t>Khám Lưu Động</t>
        </is>
      </c>
      <c r="D2" t="inlineStr">
        <is>
          <t xml:space="preserve">Ngân sách thành phố hỗ trợ </t>
        </is>
      </c>
      <c r="E2" t="inlineStr">
        <is>
          <t>Khám Theo Hợp Đồng</t>
        </is>
      </c>
      <c r="G2" t="inlineStr">
        <is>
          <t>087187000236</t>
        </is>
      </c>
      <c r="H2" t="inlineStr">
        <is>
          <t>TRẦN NGỌC DUNG</t>
        </is>
      </c>
      <c r="I2" t="inlineStr">
        <is>
          <t>27/06/1987</t>
        </is>
      </c>
      <c r="J2" t="inlineStr">
        <is>
          <t>Nữ</t>
        </is>
      </c>
      <c r="O2" t="inlineStr">
        <is>
          <t>0989681925</t>
        </is>
      </c>
      <c r="P2" t="inlineStr">
        <is>
          <t>262/20 LẠC LONG QUÂN</t>
        </is>
      </c>
      <c r="Q2" t="inlineStr">
        <is>
          <t>Thành Phố Hồ Chí Minh</t>
        </is>
      </c>
      <c r="R2" t="inlineStr">
        <is>
          <t>Phường Bình Thới</t>
        </is>
      </c>
      <c r="T2" t="inlineStr">
        <is>
          <t>GIÁO VIÊN MẦM NON</t>
        </is>
      </c>
      <c r="W2" t="inlineStr">
        <is>
          <t>Khám sức khỏe định kỳ</t>
        </is>
      </c>
      <c r="X2" t="n">
        <v>904629</v>
      </c>
      <c r="Y2" t="inlineStr">
        <is>
          <t>THANH_CONG</t>
        </is>
      </c>
      <c r="Z2" t="inlineStr">
        <is>
          <t>Đã import trước đó</t>
        </is>
      </c>
    </row>
    <row r="3">
      <c r="A3" t="inlineStr">
        <is>
          <t>29/07/2026</t>
        </is>
      </c>
      <c r="B3" t="inlineStr">
        <is>
          <t>Người lao động (theo pháp luật về an toàn, vệ sinh lao động)</t>
        </is>
      </c>
      <c r="C3" t="inlineStr">
        <is>
          <t>Khám Lưu Động</t>
        </is>
      </c>
      <c r="D3" t="inlineStr">
        <is>
          <t xml:space="preserve">Ngân sách thành phố hỗ trợ </t>
        </is>
      </c>
      <c r="E3" t="inlineStr">
        <is>
          <t>Khám Theo Hợp Đồng</t>
        </is>
      </c>
      <c r="G3" t="inlineStr">
        <is>
          <t>087187000236</t>
        </is>
      </c>
      <c r="H3" t="inlineStr">
        <is>
          <t>TRẦN NGỌC DUNG</t>
        </is>
      </c>
      <c r="I3" t="inlineStr">
        <is>
          <t>27/06/1987</t>
        </is>
      </c>
      <c r="J3" t="inlineStr">
        <is>
          <t>Nữ</t>
        </is>
      </c>
      <c r="K3" t="inlineStr">
        <is>
          <t>Kinh</t>
        </is>
      </c>
      <c r="O3" t="inlineStr">
        <is>
          <t>0989681925</t>
        </is>
      </c>
      <c r="P3" t="inlineStr">
        <is>
          <t>262/20 LẠC LONG QUÂN</t>
        </is>
      </c>
      <c r="Q3" t="inlineStr">
        <is>
          <t>Thành Phố Hồ Chí Minh</t>
        </is>
      </c>
      <c r="R3" t="inlineStr">
        <is>
          <t>Phường Bình Thới</t>
        </is>
      </c>
      <c r="T3" t="inlineStr">
        <is>
          <t>GIÁO VIÊN MẦM NON</t>
        </is>
      </c>
      <c r="W3" t="inlineStr">
        <is>
          <t>Khám sức khỏe định kỳ</t>
        </is>
      </c>
      <c r="Y3" t="inlineStr">
        <is>
          <t>TRUNG</t>
        </is>
      </c>
      <c r="Z3" t="inlineStr">
        <is>
          <t>Công dân đã khám bằng 'Ngân sách nhà nước' tại Phòng khám đa khoa (thuộc Công ty TNHH Phòng khám đa khoa Thuận Kiều) vào ngày 29/07/2026</t>
        </is>
      </c>
    </row>
    <row r="4">
      <c r="A4" t="inlineStr">
        <is>
          <t>29/07/2026</t>
        </is>
      </c>
      <c r="B4" t="inlineStr">
        <is>
          <t>Người lao động (theo pháp luật về an toàn, vệ sinh lao động)</t>
        </is>
      </c>
      <c r="C4" t="inlineStr">
        <is>
          <t>Khám Lưu Động</t>
        </is>
      </c>
      <c r="D4" t="inlineStr">
        <is>
          <t xml:space="preserve">Ngân sách thành phố hỗ trợ </t>
        </is>
      </c>
      <c r="E4" t="inlineStr">
        <is>
          <t>Khám Theo Hợp Đồng</t>
        </is>
      </c>
      <c r="G4" t="inlineStr">
        <is>
          <t>079195031510</t>
        </is>
      </c>
      <c r="H4" t="inlineStr">
        <is>
          <t>LE THI MAI</t>
        </is>
      </c>
      <c r="I4" t="inlineStr">
        <is>
          <t>15/03/1995</t>
        </is>
      </c>
      <c r="J4" t="inlineStr">
        <is>
          <t>Nữ</t>
        </is>
      </c>
      <c r="K4" t="inlineStr">
        <is>
          <t>Kinh</t>
        </is>
      </c>
      <c r="O4" t="inlineStr">
        <is>
          <t>0989681920</t>
        </is>
      </c>
      <c r="P4" t="inlineStr">
        <is>
          <t>45 Le Loi</t>
        </is>
      </c>
      <c r="Q4" t="inlineStr">
        <is>
          <t>Thành Phố Hồ Chí Minh</t>
        </is>
      </c>
      <c r="R4" t="inlineStr">
        <is>
          <t>Phường Hiệp Bình</t>
        </is>
      </c>
      <c r="T4" t="inlineStr">
        <is>
          <t>GIÁO VIÊN MẦM NON</t>
        </is>
      </c>
      <c r="W4" t="inlineStr">
        <is>
          <t>Khám sức khỏe định kỳ</t>
        </is>
      </c>
      <c r="Y4" t="inlineStr">
        <is>
          <t>TRUNG</t>
        </is>
      </c>
      <c r="Z4" t="inlineStr">
        <is>
          <t>Công dân đã khám bằng 'Ngân sách nhà nước' tại Phòng khám đa khoa (thuộc Công ty TNHH Phòng khám đa khoa Thuận Kiều) vào ngày 29/07/2026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2" customWidth="1" min="1" max="1"/>
    <col width="45" customWidth="1" min="2" max="2"/>
    <col width="14" customWidth="1" min="6" max="6"/>
    <col width="18" customWidth="1" min="7" max="7"/>
  </cols>
  <sheetData>
    <row r="1">
      <c r="A1" s="7" t="inlineStr">
        <is>
          <t>TRA CỨU DANH MỤC — nhập một phần cũng được (vd. MINH PHUNG → Phường Minh Phụng)</t>
        </is>
      </c>
      <c r="F1" t="inlineStr">
        <is>
          <t>LoaiDM</t>
        </is>
      </c>
      <c r="G1" t="inlineStr">
        <is>
          <t>SheetDM</t>
        </is>
      </c>
    </row>
    <row r="2">
      <c r="F2" t="inlineStr">
        <is>
          <t>DoiTuong</t>
        </is>
      </c>
      <c r="G2" t="inlineStr">
        <is>
          <t>DM_DoiTuong</t>
        </is>
      </c>
    </row>
    <row r="3">
      <c r="A3" t="inlineStr">
        <is>
          <t>Loại danh mục</t>
        </is>
      </c>
      <c r="B3" t="inlineStr">
        <is>
          <t>XaPhuong</t>
        </is>
      </c>
      <c r="F3" t="inlineStr">
        <is>
          <t>DiaDiemKham</t>
        </is>
      </c>
      <c r="G3" t="inlineStr">
        <is>
          <t>DM_DiaDiemKham</t>
        </is>
      </c>
    </row>
    <row r="4">
      <c r="A4" t="inlineStr">
        <is>
          <t>Từ khóa tìm</t>
        </is>
      </c>
      <c r="B4" t="inlineStr">
        <is>
          <t>MINH PHUNG</t>
        </is>
      </c>
      <c r="F4" t="inlineStr">
        <is>
          <t>HinhThucChiTra</t>
        </is>
      </c>
      <c r="G4" t="inlineStr">
        <is>
          <t>DM_HinhThucChiTra</t>
        </is>
      </c>
    </row>
    <row r="5">
      <c r="F5" t="inlineStr">
        <is>
          <t>HinhThucKham</t>
        </is>
      </c>
      <c r="G5" t="inlineStr">
        <is>
          <t>DM_HinhThucKham</t>
        </is>
      </c>
    </row>
    <row r="6">
      <c r="A6" s="8" t="inlineStr">
        <is>
          <t>Gợi ý (tối đa 8 kết quả)</t>
        </is>
      </c>
      <c r="F6" t="inlineStr">
        <is>
          <t>DanToc</t>
        </is>
      </c>
      <c r="G6" t="inlineStr">
        <is>
          <t>DM_DanToc</t>
        </is>
      </c>
    </row>
    <row r="7">
      <c r="A7" t="n">
        <v>1</v>
      </c>
      <c r="B7" s="5">
        <f>IF($B$4="","",IFERROR(INDEX(INDIRECT("'"&amp;VLOOKUP(B3,$F$2:$G$20,2,0)&amp;"'!B2:B"&amp;COUNTA(INDIRECT("'"&amp;VLOOKUP(B3,$F$2:$G$20,2,0)&amp;"'!B:B"))),AGGREGATE(15,6,ROW(INDIRECT("'"&amp;VLOOKUP(B3,$F$2:$G$20,2,0)&amp;"'!B2:B"&amp;COUNTA(INDIRECT("'"&amp;VLOOKUP(B3,$F$2:$G$20,2,0)&amp;"'!B:B"))))-1+1/ISNUMBER(SEARCH(SUBSTITUTE(UPPER($B$4)," ",""),INDIRECT("'"&amp;VLOOKUP(B3,$F$2:$G$20,2,0)&amp;"'!C2:C"&amp;COUNTA(INDIRECT("'"&amp;VLOOKUP(B3,$F$2:$G$20,2,0)&amp;"'!C:C"))))),1)),""))</f>
        <v/>
      </c>
      <c r="F7" t="inlineStr">
        <is>
          <t>TinhThanh</t>
        </is>
      </c>
      <c r="G7" t="inlineStr">
        <is>
          <t>DM_TinhThanh</t>
        </is>
      </c>
    </row>
    <row r="8">
      <c r="A8" t="n">
        <v>2</v>
      </c>
      <c r="B8" s="5">
        <f>IF($B$4="","",IFERROR(INDEX(INDIRECT("'"&amp;VLOOKUP(B3,$F$2:$G$20,2,0)&amp;"'!B2:B"&amp;COUNTA(INDIRECT("'"&amp;VLOOKUP(B3,$F$2:$G$20,2,0)&amp;"'!B:B"))),AGGREGATE(15,6,ROW(INDIRECT("'"&amp;VLOOKUP(B3,$F$2:$G$20,2,0)&amp;"'!B2:B"&amp;COUNTA(INDIRECT("'"&amp;VLOOKUP(B3,$F$2:$G$20,2,0)&amp;"'!B:B"))))-1+1/ISNUMBER(SEARCH(SUBSTITUTE(UPPER($B$4)," ",""),INDIRECT("'"&amp;VLOOKUP(B3,$F$2:$G$20,2,0)&amp;"'!C2:C"&amp;COUNTA(INDIRECT("'"&amp;VLOOKUP(B3,$F$2:$G$20,2,0)&amp;"'!C:C"))))),2)),""))</f>
        <v/>
      </c>
      <c r="F8" t="inlineStr">
        <is>
          <t>XaPhuong</t>
        </is>
      </c>
      <c r="G8" t="inlineStr">
        <is>
          <t>DM_XaPhuong</t>
        </is>
      </c>
    </row>
    <row r="9">
      <c r="A9" t="n">
        <v>3</v>
      </c>
      <c r="B9" s="5">
        <f>IF($B$4="","",IFERROR(INDEX(INDIRECT("'"&amp;VLOOKUP(B3,$F$2:$G$20,2,0)&amp;"'!B2:B"&amp;COUNTA(INDIRECT("'"&amp;VLOOKUP(B3,$F$2:$G$20,2,0)&amp;"'!B:B"))),AGGREGATE(15,6,ROW(INDIRECT("'"&amp;VLOOKUP(B3,$F$2:$G$20,2,0)&amp;"'!B2:B"&amp;COUNTA(INDIRECT("'"&amp;VLOOKUP(B3,$F$2:$G$20,2,0)&amp;"'!B:B"))))-1+1/ISNUMBER(SEARCH(SUBSTITUTE(UPPER($B$4)," ",""),INDIRECT("'"&amp;VLOOKUP(B3,$F$2:$G$20,2,0)&amp;"'!C2:C"&amp;COUNTA(INDIRECT("'"&amp;VLOOKUP(B3,$F$2:$G$20,2,0)&amp;"'!C:C"))))),3)),""))</f>
        <v/>
      </c>
      <c r="F9" t="inlineStr">
        <is>
          <t>NgheNghiep</t>
        </is>
      </c>
      <c r="G9" t="inlineStr">
        <is>
          <t>DM_NgheNghiep</t>
        </is>
      </c>
    </row>
    <row r="10">
      <c r="A10" t="n">
        <v>4</v>
      </c>
      <c r="B10" s="5">
        <f>IF($B$4="","",IFERROR(INDEX(INDIRECT("'"&amp;VLOOKUP(B3,$F$2:$G$20,2,0)&amp;"'!B2:B"&amp;COUNTA(INDIRECT("'"&amp;VLOOKUP(B3,$F$2:$G$20,2,0)&amp;"'!B:B"))),AGGREGATE(15,6,ROW(INDIRECT("'"&amp;VLOOKUP(B3,$F$2:$G$20,2,0)&amp;"'!B2:B"&amp;COUNTA(INDIRECT("'"&amp;VLOOKUP(B3,$F$2:$G$20,2,0)&amp;"'!B:B"))))-1+1/ISNUMBER(SEARCH(SUBSTITUTE(UPPER($B$4)," ",""),INDIRECT("'"&amp;VLOOKUP(B3,$F$2:$G$20,2,0)&amp;"'!C2:C"&amp;COUNTA(INDIRECT("'"&amp;VLOOKUP(B3,$F$2:$G$20,2,0)&amp;"'!C:C"))))),4)),""))</f>
        <v/>
      </c>
      <c r="F10" t="inlineStr">
        <is>
          <t>NoiCongTac</t>
        </is>
      </c>
      <c r="G10" t="inlineStr">
        <is>
          <t>DM_NoiCongTac</t>
        </is>
      </c>
    </row>
    <row r="11">
      <c r="A11" t="n">
        <v>5</v>
      </c>
      <c r="B11" s="5">
        <f>IF($B$4="","",IFERROR(INDEX(INDIRECT("'"&amp;VLOOKUP(B3,$F$2:$G$20,2,0)&amp;"'!B2:B"&amp;COUNTA(INDIRECT("'"&amp;VLOOKUP(B3,$F$2:$G$20,2,0)&amp;"'!B:B"))),AGGREGATE(15,6,ROW(INDIRECT("'"&amp;VLOOKUP(B3,$F$2:$G$20,2,0)&amp;"'!B2:B"&amp;COUNTA(INDIRECT("'"&amp;VLOOKUP(B3,$F$2:$G$20,2,0)&amp;"'!B:B"))))-1+1/ISNUMBER(SEARCH(SUBSTITUTE(UPPER($B$4)," ",""),INDIRECT("'"&amp;VLOOKUP(B3,$F$2:$G$20,2,0)&amp;"'!C2:C"&amp;COUNTA(INDIRECT("'"&amp;VLOOKUP(B3,$F$2:$G$20,2,0)&amp;"'!C:C"))))),5)),""))</f>
        <v/>
      </c>
    </row>
    <row r="12">
      <c r="A12" t="n">
        <v>6</v>
      </c>
      <c r="B12" s="5">
        <f>IF($B$4="","",IFERROR(INDEX(INDIRECT("'"&amp;VLOOKUP(B3,$F$2:$G$20,2,0)&amp;"'!B2:B"&amp;COUNTA(INDIRECT("'"&amp;VLOOKUP(B3,$F$2:$G$20,2,0)&amp;"'!B:B"))),AGGREGATE(15,6,ROW(INDIRECT("'"&amp;VLOOKUP(B3,$F$2:$G$20,2,0)&amp;"'!B2:B"&amp;COUNTA(INDIRECT("'"&amp;VLOOKUP(B3,$F$2:$G$20,2,0)&amp;"'!B:B"))))-1+1/ISNUMBER(SEARCH(SUBSTITUTE(UPPER($B$4)," ",""),INDIRECT("'"&amp;VLOOKUP(B3,$F$2:$G$20,2,0)&amp;"'!C2:C"&amp;COUNTA(INDIRECT("'"&amp;VLOOKUP(B3,$F$2:$G$20,2,0)&amp;"'!C:C"))))),6)),""))</f>
        <v/>
      </c>
    </row>
    <row r="13">
      <c r="A13" t="n">
        <v>7</v>
      </c>
      <c r="B13" s="5">
        <f>IF($B$4="","",IFERROR(INDEX(INDIRECT("'"&amp;VLOOKUP(B3,$F$2:$G$20,2,0)&amp;"'!B2:B"&amp;COUNTA(INDIRECT("'"&amp;VLOOKUP(B3,$F$2:$G$20,2,0)&amp;"'!B:B"))),AGGREGATE(15,6,ROW(INDIRECT("'"&amp;VLOOKUP(B3,$F$2:$G$20,2,0)&amp;"'!B2:B"&amp;COUNTA(INDIRECT("'"&amp;VLOOKUP(B3,$F$2:$G$20,2,0)&amp;"'!B:B"))))-1+1/ISNUMBER(SEARCH(SUBSTITUTE(UPPER($B$4)," ",""),INDIRECT("'"&amp;VLOOKUP(B3,$F$2:$G$20,2,0)&amp;"'!C2:C"&amp;COUNTA(INDIRECT("'"&amp;VLOOKUP(B3,$F$2:$G$20,2,0)&amp;"'!C:C"))))),7)),""))</f>
        <v/>
      </c>
    </row>
    <row r="14">
      <c r="A14" t="n">
        <v>8</v>
      </c>
      <c r="B14" s="5">
        <f>IF($B$4="","",IFERROR(INDEX(INDIRECT("'"&amp;VLOOKUP(B3,$F$2:$G$20,2,0)&amp;"'!B2:B"&amp;COUNTA(INDIRECT("'"&amp;VLOOKUP(B3,$F$2:$G$20,2,0)&amp;"'!B:B"))),AGGREGATE(15,6,ROW(INDIRECT("'"&amp;VLOOKUP(B3,$F$2:$G$20,2,0)&amp;"'!B2:B"&amp;COUNTA(INDIRECT("'"&amp;VLOOKUP(B3,$F$2:$G$20,2,0)&amp;"'!B:B"))))-1+1/ISNUMBER(SEARCH(SUBSTITUTE(UPPER($B$4)," ",""),INDIRECT("'"&amp;VLOOKUP(B3,$F$2:$G$20,2,0)&amp;"'!C2:C"&amp;COUNTA(INDIRECT("'"&amp;VLOOKUP(B3,$F$2:$G$20,2,0)&amp;"'!C:C"))))),8)),""))</f>
        <v/>
      </c>
    </row>
    <row r="16">
      <c r="A16" t="inlineStr">
        <is>
          <t>Cách dùng</t>
        </is>
      </c>
      <c r="B16" t="inlineStr">
        <is>
          <t>1) Chọn loại (XaPhuong, TinhThanh...)  2) Gõ một phần tên  3) Copy gợi ý sang cột nhập</t>
        </is>
      </c>
    </row>
  </sheetData>
  <mergeCells count="1">
    <mergeCell ref="A1:D1"/>
  </mergeCells>
  <dataValidations count="1">
    <dataValidation sqref="B3" showDropDown="0" showInputMessage="0" showErrorMessage="0" allowBlank="0" type="list">
      <formula1>"DoiTuong,DiaDiemKham,HinhThucChiTra,HinhThucKham,DanToc,TinhThanh,XaPhuong,NgheNghiep,NoiCongTac"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2026-07-29T07:01:08Z</dcterms:created>
  <dcterms:modified xsi:type="dcterms:W3CDTF">2026-07-29T07:18:54Z</dcterms:modified>
</cp:coreProperties>
</file>